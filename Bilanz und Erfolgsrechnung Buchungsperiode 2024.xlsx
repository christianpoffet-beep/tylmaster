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codeName="ThisWorkbook"/>
  <xr:revisionPtr revIDLastSave="0" documentId="8_{9CAF068F-AB22-4DEA-BCCC-AC30D19C726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rfolgsrechnung" sheetId="1" r:id="rId1"/>
    <sheet name="Bilanz" sheetId="2" r:id="rId2"/>
    <sheet name="Budget" sheetId="3" r:id="rId3"/>
    <sheet name="Eröffnungsbilanz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4" l="1"/>
  <c r="C15" i="4"/>
  <c r="F12" i="4"/>
  <c r="F11" i="4"/>
  <c r="C11" i="4"/>
  <c r="F7" i="4"/>
  <c r="G39" i="3"/>
  <c r="F39" i="3"/>
  <c r="D39" i="3"/>
  <c r="C39" i="3"/>
  <c r="G38" i="3"/>
  <c r="F38" i="3"/>
  <c r="D38" i="3"/>
  <c r="C38" i="3"/>
  <c r="H37" i="3"/>
  <c r="E37" i="3"/>
  <c r="H36" i="3"/>
  <c r="E36" i="3"/>
  <c r="H35" i="3"/>
  <c r="E35" i="3"/>
  <c r="H34" i="3"/>
  <c r="H38" i="3" s="1"/>
  <c r="E34" i="3"/>
  <c r="E38" i="3" s="1"/>
  <c r="G32" i="3"/>
  <c r="F32" i="3"/>
  <c r="D32" i="3"/>
  <c r="C32" i="3"/>
  <c r="H31" i="3"/>
  <c r="E31" i="3"/>
  <c r="H30" i="3"/>
  <c r="E30" i="3"/>
  <c r="H29" i="3"/>
  <c r="E29" i="3"/>
  <c r="H28" i="3"/>
  <c r="E28" i="3"/>
  <c r="O27" i="3"/>
  <c r="N27" i="3"/>
  <c r="L27" i="3"/>
  <c r="K27" i="3"/>
  <c r="H27" i="3"/>
  <c r="E27" i="3"/>
  <c r="O26" i="3"/>
  <c r="N26" i="3"/>
  <c r="L26" i="3"/>
  <c r="K26" i="3"/>
  <c r="H26" i="3"/>
  <c r="E26" i="3"/>
  <c r="P25" i="3"/>
  <c r="M25" i="3"/>
  <c r="H25" i="3"/>
  <c r="E25" i="3"/>
  <c r="P24" i="3"/>
  <c r="M24" i="3"/>
  <c r="H24" i="3"/>
  <c r="H32" i="3" s="1"/>
  <c r="E24" i="3"/>
  <c r="E32" i="3" s="1"/>
  <c r="P23" i="3"/>
  <c r="M23" i="3"/>
  <c r="P22" i="3"/>
  <c r="M22" i="3"/>
  <c r="G22" i="3"/>
  <c r="F22" i="3"/>
  <c r="D22" i="3"/>
  <c r="C22" i="3"/>
  <c r="P21" i="3"/>
  <c r="M21" i="3"/>
  <c r="H21" i="3"/>
  <c r="H22" i="3" s="1"/>
  <c r="E21" i="3"/>
  <c r="E22" i="3" s="1"/>
  <c r="P20" i="3"/>
  <c r="M20" i="3"/>
  <c r="P19" i="3"/>
  <c r="M19" i="3"/>
  <c r="G19" i="3"/>
  <c r="F19" i="3"/>
  <c r="D19" i="3"/>
  <c r="C19" i="3"/>
  <c r="P18" i="3"/>
  <c r="P26" i="3" s="1"/>
  <c r="M18" i="3"/>
  <c r="M26" i="3" s="1"/>
  <c r="H18" i="3"/>
  <c r="H19" i="3" s="1"/>
  <c r="E18" i="3"/>
  <c r="E19" i="3" s="1"/>
  <c r="O16" i="3"/>
  <c r="N16" i="3"/>
  <c r="L16" i="3"/>
  <c r="K16" i="3"/>
  <c r="G16" i="3"/>
  <c r="F16" i="3"/>
  <c r="D16" i="3"/>
  <c r="C16" i="3"/>
  <c r="P15" i="3"/>
  <c r="P16" i="3" s="1"/>
  <c r="M15" i="3"/>
  <c r="M16" i="3" s="1"/>
  <c r="H15" i="3"/>
  <c r="E15" i="3"/>
  <c r="H14" i="3"/>
  <c r="E14" i="3"/>
  <c r="O13" i="3"/>
  <c r="N13" i="3"/>
  <c r="L13" i="3"/>
  <c r="K13" i="3"/>
  <c r="H13" i="3"/>
  <c r="E13" i="3"/>
  <c r="P12" i="3"/>
  <c r="M12" i="3"/>
  <c r="H12" i="3"/>
  <c r="E12" i="3"/>
  <c r="P11" i="3"/>
  <c r="P13" i="3" s="1"/>
  <c r="M11" i="3"/>
  <c r="M13" i="3" s="1"/>
  <c r="H11" i="3"/>
  <c r="E11" i="3"/>
  <c r="H10" i="3"/>
  <c r="E10" i="3"/>
  <c r="O9" i="3"/>
  <c r="N9" i="3"/>
  <c r="L9" i="3"/>
  <c r="K9" i="3"/>
  <c r="H9" i="3"/>
  <c r="E9" i="3"/>
  <c r="P8" i="3"/>
  <c r="M8" i="3"/>
  <c r="H8" i="3"/>
  <c r="E8" i="3"/>
  <c r="P7" i="3"/>
  <c r="M7" i="3"/>
  <c r="H7" i="3"/>
  <c r="E7" i="3"/>
  <c r="P6" i="3"/>
  <c r="M6" i="3"/>
  <c r="H6" i="3"/>
  <c r="E6" i="3"/>
  <c r="E16" i="2"/>
  <c r="C16" i="2"/>
  <c r="E15" i="2"/>
  <c r="C15" i="2"/>
  <c r="F14" i="2"/>
  <c r="D14" i="2"/>
  <c r="F13" i="2"/>
  <c r="F15" i="2" s="1"/>
  <c r="D13" i="2"/>
  <c r="D15" i="2" s="1"/>
  <c r="K12" i="2"/>
  <c r="I12" i="2"/>
  <c r="K11" i="2"/>
  <c r="I11" i="2"/>
  <c r="E11" i="2"/>
  <c r="C11" i="2"/>
  <c r="L10" i="2"/>
  <c r="J10" i="2"/>
  <c r="F10" i="2"/>
  <c r="D10" i="2"/>
  <c r="L9" i="2"/>
  <c r="L11" i="2" s="1"/>
  <c r="J9" i="2"/>
  <c r="J11" i="2" s="1"/>
  <c r="F9" i="2"/>
  <c r="D9" i="2"/>
  <c r="F8" i="2"/>
  <c r="D8" i="2"/>
  <c r="K7" i="2"/>
  <c r="I7" i="2"/>
  <c r="F7" i="2"/>
  <c r="D7" i="2"/>
  <c r="L6" i="2"/>
  <c r="L7" i="2" s="1"/>
  <c r="J6" i="2"/>
  <c r="J7" i="2" s="1"/>
  <c r="F6" i="2"/>
  <c r="F11" i="2" s="1"/>
  <c r="D6" i="2"/>
  <c r="D11" i="2" s="1"/>
  <c r="E39" i="1"/>
  <c r="C39" i="1"/>
  <c r="E38" i="1"/>
  <c r="C38" i="1"/>
  <c r="F37" i="1"/>
  <c r="D37" i="1"/>
  <c r="F36" i="1"/>
  <c r="D36" i="1"/>
  <c r="F35" i="1"/>
  <c r="D35" i="1"/>
  <c r="F34" i="1"/>
  <c r="F38" i="1" s="1"/>
  <c r="D34" i="1"/>
  <c r="D38" i="1" s="1"/>
  <c r="E32" i="1"/>
  <c r="C32" i="1"/>
  <c r="F31" i="1"/>
  <c r="D31" i="1"/>
  <c r="F30" i="1"/>
  <c r="D30" i="1"/>
  <c r="F29" i="1"/>
  <c r="D29" i="1"/>
  <c r="F28" i="1"/>
  <c r="D28" i="1"/>
  <c r="K27" i="1"/>
  <c r="I27" i="1"/>
  <c r="F27" i="1"/>
  <c r="D27" i="1"/>
  <c r="K26" i="1"/>
  <c r="I26" i="1"/>
  <c r="F26" i="1"/>
  <c r="D26" i="1"/>
  <c r="L25" i="1"/>
  <c r="J25" i="1"/>
  <c r="F25" i="1"/>
  <c r="D25" i="1"/>
  <c r="L24" i="1"/>
  <c r="J24" i="1"/>
  <c r="F24" i="1"/>
  <c r="F32" i="1" s="1"/>
  <c r="D24" i="1"/>
  <c r="D32" i="1" s="1"/>
  <c r="L23" i="1"/>
  <c r="J23" i="1"/>
  <c r="L22" i="1"/>
  <c r="J22" i="1"/>
  <c r="E22" i="1"/>
  <c r="C22" i="1"/>
  <c r="L21" i="1"/>
  <c r="J21" i="1"/>
  <c r="F21" i="1"/>
  <c r="F22" i="1" s="1"/>
  <c r="D21" i="1"/>
  <c r="D22" i="1" s="1"/>
  <c r="L20" i="1"/>
  <c r="J20" i="1"/>
  <c r="L19" i="1"/>
  <c r="J19" i="1"/>
  <c r="E19" i="1"/>
  <c r="C19" i="1"/>
  <c r="L18" i="1"/>
  <c r="L26" i="1" s="1"/>
  <c r="J18" i="1"/>
  <c r="J26" i="1" s="1"/>
  <c r="F18" i="1"/>
  <c r="F19" i="1" s="1"/>
  <c r="D18" i="1"/>
  <c r="D19" i="1" s="1"/>
  <c r="K16" i="1"/>
  <c r="I16" i="1"/>
  <c r="E16" i="1"/>
  <c r="C16" i="1"/>
  <c r="L15" i="1"/>
  <c r="L16" i="1" s="1"/>
  <c r="J15" i="1"/>
  <c r="J16" i="1" s="1"/>
  <c r="F15" i="1"/>
  <c r="D15" i="1"/>
  <c r="F14" i="1"/>
  <c r="D14" i="1"/>
  <c r="K13" i="1"/>
  <c r="I13" i="1"/>
  <c r="F13" i="1"/>
  <c r="D13" i="1"/>
  <c r="L12" i="1"/>
  <c r="J12" i="1"/>
  <c r="F12" i="1"/>
  <c r="D12" i="1"/>
  <c r="L11" i="1"/>
  <c r="L13" i="1" s="1"/>
  <c r="J11" i="1"/>
  <c r="J13" i="1" s="1"/>
  <c r="F11" i="1"/>
  <c r="D11" i="1"/>
  <c r="F10" i="1"/>
  <c r="D10" i="1"/>
  <c r="K9" i="1"/>
  <c r="I9" i="1"/>
  <c r="F9" i="1"/>
  <c r="D9" i="1"/>
  <c r="L8" i="1"/>
  <c r="J8" i="1"/>
  <c r="F8" i="1"/>
  <c r="D8" i="1"/>
  <c r="L7" i="1"/>
  <c r="J7" i="1"/>
  <c r="F7" i="1"/>
  <c r="D7" i="1"/>
  <c r="L6" i="1"/>
  <c r="L9" i="1" s="1"/>
  <c r="J6" i="1"/>
  <c r="J9" i="1" s="1"/>
  <c r="F6" i="1"/>
  <c r="F16" i="1" s="1"/>
  <c r="D6" i="1"/>
  <c r="D16" i="1" s="1"/>
  <c r="I40" i="1" l="1"/>
  <c r="C40" i="1"/>
  <c r="K40" i="1"/>
  <c r="E40" i="1"/>
  <c r="I17" i="2"/>
  <c r="C17" i="2"/>
  <c r="K17" i="2"/>
  <c r="E17" i="2"/>
  <c r="E39" i="3"/>
  <c r="E16" i="3"/>
  <c r="H39" i="3"/>
  <c r="H16" i="3"/>
  <c r="M27" i="3"/>
  <c r="M9" i="3"/>
  <c r="P27" i="3"/>
  <c r="P9" i="3"/>
  <c r="K40" i="3"/>
  <c r="C40" i="3"/>
  <c r="L40" i="3"/>
  <c r="D40" i="3"/>
  <c r="N40" i="3"/>
  <c r="F40" i="3"/>
  <c r="O40" i="3"/>
  <c r="G40" i="3"/>
  <c r="B20" i="4"/>
  <c r="F17" i="4"/>
  <c r="E17" i="4"/>
  <c r="C17" i="4"/>
  <c r="B17" i="4"/>
  <c r="B40" i="3" l="1"/>
  <c r="J40" i="3"/>
  <c r="B17" i="2"/>
  <c r="H17" i="2"/>
  <c r="B40" i="1"/>
  <c r="H40" i="1"/>
</calcChain>
</file>

<file path=xl/sharedStrings.xml><?xml version="1.0" encoding="utf-8"?>
<sst xmlns="http://schemas.openxmlformats.org/spreadsheetml/2006/main" count="170" uniqueCount="73">
  <si>
    <t>Erfolgsrechnung Buchungsperiode 2024 (01.01.2024 - 31.12.2024)</t>
  </si>
  <si>
    <t>Aufwand</t>
  </si>
  <si>
    <t>Aktuell</t>
  </si>
  <si>
    <t>%</t>
  </si>
  <si>
    <t>Vorjahr</t>
  </si>
  <si>
    <t>Ertrag</t>
  </si>
  <si>
    <t>Administrativer Aufwand</t>
  </si>
  <si>
    <t>Spesen</t>
  </si>
  <si>
    <t>Mitgliederbeiträge</t>
  </si>
  <si>
    <t>Porto</t>
  </si>
  <si>
    <t>Spenden von Christian Poffet</t>
  </si>
  <si>
    <t>Büromaterial</t>
  </si>
  <si>
    <t>Einnahmen aus Veranstaltungen</t>
  </si>
  <si>
    <t>Veranstaltungen</t>
  </si>
  <si>
    <t>Microsoft Office</t>
  </si>
  <si>
    <t>Weiterer Ertrag</t>
  </si>
  <si>
    <t>Webling Buchhaltung</t>
  </si>
  <si>
    <t>Zinsen</t>
  </si>
  <si>
    <t>Reprtoir - Works Manager</t>
  </si>
  <si>
    <t>Sonstiger Ertrag</t>
  </si>
  <si>
    <t>Metanet - Webhosting</t>
  </si>
  <si>
    <t>indiesuisse - Mitgliedschaft</t>
  </si>
  <si>
    <t>Fotografie</t>
  </si>
  <si>
    <t>Gebührenbelastung Kontoführung - Bank</t>
  </si>
  <si>
    <t>Bandfotografie</t>
  </si>
  <si>
    <t>Weiterer Aufwand</t>
  </si>
  <si>
    <t>Musik</t>
  </si>
  <si>
    <t>Sonstiger Aufwand</t>
  </si>
  <si>
    <t>Rebeat GmbH uploads &amp; Metadata change</t>
  </si>
  <si>
    <t>Rebeat GmbH Streaming &amp; Download income</t>
  </si>
  <si>
    <t>Physische Verkäufe CD</t>
  </si>
  <si>
    <t>adobe - creative cloud</t>
  </si>
  <si>
    <t>Physische Verkäufe Vinyl</t>
  </si>
  <si>
    <t>Physische Verkäufe Merchandise</t>
  </si>
  <si>
    <t>SUISA</t>
  </si>
  <si>
    <t>SUISA Aufwand (Urheberrechtsentschädigung, etc.)</t>
  </si>
  <si>
    <t>SWISSPERFORM</t>
  </si>
  <si>
    <t>PR Zeitschriften</t>
  </si>
  <si>
    <t>Drucksachen</t>
  </si>
  <si>
    <t>Herstellungskosten für Tonträger</t>
  </si>
  <si>
    <t>Total Ertrag</t>
  </si>
  <si>
    <t>Herstellungskosten für Merchandise</t>
  </si>
  <si>
    <t>PR Internet, Social Media</t>
  </si>
  <si>
    <t>PR Radio, TV, usw.</t>
  </si>
  <si>
    <t>Vergütungen an Künstler</t>
  </si>
  <si>
    <t>Streaming &amp; Download</t>
  </si>
  <si>
    <t>Total Aufwand</t>
  </si>
  <si>
    <t>Bilanz Buchungsperiode 2024 vom 31.12.2024</t>
  </si>
  <si>
    <t>Aktiv</t>
  </si>
  <si>
    <t>Passiv</t>
  </si>
  <si>
    <t>Umlaufvermögen</t>
  </si>
  <si>
    <t>Fremdkapital</t>
  </si>
  <si>
    <t>Kasse</t>
  </si>
  <si>
    <t>Kreditoren</t>
  </si>
  <si>
    <t>Post</t>
  </si>
  <si>
    <t>Bank</t>
  </si>
  <si>
    <t>Eigenkapital</t>
  </si>
  <si>
    <t>Debitoren</t>
  </si>
  <si>
    <t>Pay Pal</t>
  </si>
  <si>
    <t>Rückstellungen</t>
  </si>
  <si>
    <t>Anlagevermögen</t>
  </si>
  <si>
    <t>Total Passive</t>
  </si>
  <si>
    <t>Material</t>
  </si>
  <si>
    <t>Übertragskonto Debitoren</t>
  </si>
  <si>
    <t>Total Aktive</t>
  </si>
  <si>
    <t>Budget Buchungsperiode 2024 (01.01.2024 - 31.12.2024)</t>
  </si>
  <si>
    <t>Budget</t>
  </si>
  <si>
    <t>Ergebnis</t>
  </si>
  <si>
    <t>Differenz</t>
  </si>
  <si>
    <t>Budget Vorjahr</t>
  </si>
  <si>
    <t>Ergebnis Vorjahr</t>
  </si>
  <si>
    <t>Differenz Vorjahr</t>
  </si>
  <si>
    <t>Eröffnungsbilanz Buchungsperiode 2024 vom 01.01.2024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</si>
</sst>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3"/>
      <color rgb="FF333333"/>
      <name val="Calibri"/>
    </font>
    <font>
      <b/>
      <sz val="11"/>
      <color rgb="FF333333"/>
      <name val="Calibri"/>
    </font>
    <font>
      <sz val="11"/>
      <color rgb="FF333333"/>
      <name val="Calibri"/>
    </font>
    <font>
      <b/>
      <sz val="14"/>
      <color rgb="FF333333"/>
      <name val="Calibri"/>
    </font>
    <font>
      <b/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5E3F1"/>
        <bgColor rgb="FFD5E3F1"/>
      </patternFill>
    </fill>
    <fill>
      <patternFill patternType="solid">
        <fgColor rgb="FFFFFFFF"/>
        <bgColor rgb="FFFFFFFF"/>
      </patternFill>
    </fill>
    <fill>
      <patternFill patternType="solid">
        <fgColor rgb="FFE8F0F7"/>
        <bgColor rgb="FFE8F0F7"/>
      </patternFill>
    </fill>
    <fill>
      <patternFill patternType="solid">
        <fgColor rgb="FFC0E09E"/>
        <bgColor rgb="FFC0E09E"/>
      </patternFill>
    </fill>
    <fill>
      <patternFill patternType="solid">
        <fgColor rgb="FFDCEEC9"/>
        <bgColor rgb="FFDCEEC9"/>
      </patternFill>
    </fill>
  </fills>
  <borders count="5">
    <border>
      <left/>
      <right/>
      <top/>
      <bottom/>
      <diagonal/>
    </border>
    <border>
      <left/>
      <right/>
      <top style="thin">
        <color rgb="FFD5E3F1"/>
      </top>
      <bottom/>
      <diagonal/>
    </border>
    <border>
      <left/>
      <right/>
      <top style="medium">
        <color rgb="FF333333"/>
      </top>
      <bottom/>
      <diagonal/>
    </border>
    <border>
      <left/>
      <right/>
      <top style="thin">
        <color rgb="FFC0E09E"/>
      </top>
      <bottom/>
      <diagonal/>
    </border>
    <border>
      <left/>
      <right/>
      <top/>
      <bottom style="medium">
        <color rgb="FF33333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4" fontId="3" fillId="3" borderId="0" xfId="0" applyNumberFormat="1" applyFont="1" applyFill="1" applyAlignment="1">
      <alignment vertical="center"/>
    </xf>
    <xf numFmtId="0" fontId="3" fillId="4" borderId="0" xfId="0" applyFont="1" applyFill="1" applyAlignment="1">
      <alignment vertical="center"/>
    </xf>
    <xf numFmtId="4" fontId="3" fillId="4" borderId="0" xfId="0" applyNumberFormat="1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4" fontId="3" fillId="3" borderId="1" xfId="0" applyNumberFormat="1" applyFont="1" applyFill="1" applyBorder="1" applyAlignment="1">
      <alignment vertical="center"/>
    </xf>
    <xf numFmtId="1" fontId="3" fillId="3" borderId="1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4" fontId="2" fillId="3" borderId="2" xfId="0" applyNumberFormat="1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4" fontId="3" fillId="6" borderId="0" xfId="0" applyNumberFormat="1" applyFont="1" applyFill="1" applyAlignment="1">
      <alignment vertical="center"/>
    </xf>
    <xf numFmtId="0" fontId="3" fillId="3" borderId="3" xfId="0" applyFont="1" applyFill="1" applyBorder="1" applyAlignment="1">
      <alignment vertical="center"/>
    </xf>
    <xf numFmtId="4" fontId="3" fillId="3" borderId="3" xfId="0" applyNumberFormat="1" applyFont="1" applyFill="1" applyBorder="1" applyAlignment="1">
      <alignment vertical="center"/>
    </xf>
    <xf numFmtId="1" fontId="3" fillId="3" borderId="3" xfId="0" applyNumberFormat="1" applyFont="1" applyFill="1" applyBorder="1" applyAlignment="1">
      <alignment vertical="center"/>
    </xf>
    <xf numFmtId="4" fontId="5" fillId="3" borderId="2" xfId="0" applyNumberFormat="1" applyFont="1" applyFill="1" applyBorder="1" applyAlignment="1">
      <alignment vertical="center"/>
    </xf>
    <xf numFmtId="0" fontId="4" fillId="0" borderId="4" xfId="0" applyFont="1" applyBorder="1" applyAlignment="1"/>
    <xf numFmtId="0" fontId="5" fillId="3" borderId="0" xfId="0" applyFont="1" applyFill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40"/>
  <sheetViews>
    <sheetView showGridLines="0" tabSelected="1" workbookViewId="0">
      <selection activeCell="K40" sqref="K40"/>
    </sheetView>
  </sheetViews>
  <sheetFormatPr defaultRowHeight="15.95" customHeight="1"/>
  <cols>
    <col min="1" max="1" width="2" customWidth="1"/>
    <col min="2" max="2" width="57.7109375" bestFit="1" customWidth="1"/>
    <col min="3" max="3" width="10.85546875" bestFit="1" customWidth="1"/>
    <col min="4" max="4" width="3.42578125" bestFit="1" customWidth="1"/>
    <col min="5" max="5" width="10.85546875" bestFit="1" customWidth="1"/>
    <col min="6" max="6" width="3.42578125" bestFit="1" customWidth="1"/>
    <col min="7" max="7" width="2" customWidth="1"/>
    <col min="8" max="8" width="47.140625" bestFit="1" customWidth="1"/>
    <col min="9" max="9" width="10.85546875" bestFit="1" customWidth="1"/>
    <col min="10" max="10" width="4.5703125" bestFit="1" customWidth="1"/>
    <col min="11" max="11" width="10.85546875" bestFit="1" customWidth="1"/>
    <col min="12" max="12" width="3.42578125" bestFit="1" customWidth="1"/>
  </cols>
  <sheetData>
    <row r="2" spans="2:12" ht="24" customHeight="1">
      <c r="B2" s="20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2:12">
      <c r="B4" s="1" t="s">
        <v>1</v>
      </c>
      <c r="C4" s="2" t="s">
        <v>2</v>
      </c>
      <c r="D4" s="2" t="s">
        <v>3</v>
      </c>
      <c r="E4" s="2" t="s">
        <v>4</v>
      </c>
      <c r="F4" s="2" t="s">
        <v>3</v>
      </c>
      <c r="H4" s="1" t="s">
        <v>5</v>
      </c>
      <c r="I4" s="2" t="s">
        <v>2</v>
      </c>
      <c r="J4" s="2" t="s">
        <v>3</v>
      </c>
      <c r="K4" s="2" t="s">
        <v>4</v>
      </c>
      <c r="L4" s="2" t="s">
        <v>3</v>
      </c>
    </row>
    <row r="5" spans="2:12">
      <c r="B5" s="3" t="s">
        <v>6</v>
      </c>
      <c r="C5" s="3"/>
      <c r="D5" s="3"/>
      <c r="E5" s="3"/>
      <c r="F5" s="3"/>
      <c r="H5" s="13" t="s">
        <v>5</v>
      </c>
      <c r="I5" s="13"/>
      <c r="J5" s="13"/>
      <c r="K5" s="13"/>
      <c r="L5" s="13"/>
    </row>
    <row r="6" spans="2:12">
      <c r="B6" s="4" t="s">
        <v>7</v>
      </c>
      <c r="C6" s="5">
        <v>103</v>
      </c>
      <c r="D6" s="4">
        <f ca="1">IF(OFFSET(D39, 0, -1)&lt;&gt;0, ROUND((IF(OFFSET(D6, 0, -1)="",0,OFFSET(D6, 0, -1))/OFFSET(D39, 0, -1))*100,0), 0)</f>
        <v>6</v>
      </c>
      <c r="E6" s="5">
        <v>0</v>
      </c>
      <c r="F6" s="4">
        <f ca="1">IF(OFFSET(F39, 0, -1)&lt;&gt;0, ROUND((IF(OFFSET(F6, 0, -1)="",0,OFFSET(F6, 0, -1))/OFFSET(F39, 0, -1))*100,0), 0)</f>
        <v>0</v>
      </c>
      <c r="H6" s="4" t="s">
        <v>8</v>
      </c>
      <c r="I6" s="5">
        <v>0</v>
      </c>
      <c r="J6" s="4">
        <f ca="1">IF(OFFSET(J27, 0, -1)&lt;&gt;0, ROUND((IF(OFFSET(J6, 0, -1)="",0,OFFSET(J6, 0, -1))/OFFSET(J27, 0, -1))*100,0), 0)</f>
        <v>0</v>
      </c>
      <c r="K6" s="5">
        <v>0</v>
      </c>
      <c r="L6" s="4">
        <f ca="1">IF(OFFSET(L27, 0, -1)&lt;&gt;0, ROUND((IF(OFFSET(L6, 0, -1)="",0,OFFSET(L6, 0, -1))/OFFSET(L27, 0, -1))*100,0), 0)</f>
        <v>0</v>
      </c>
    </row>
    <row r="7" spans="2:12">
      <c r="B7" s="6" t="s">
        <v>9</v>
      </c>
      <c r="C7" s="7">
        <v>0</v>
      </c>
      <c r="D7" s="6">
        <f ca="1">IF(OFFSET(D39, 0, -1)&lt;&gt;0, ROUND((IF(OFFSET(D7, 0, -1)="",0,OFFSET(D7, 0, -1))/OFFSET(D39, 0, -1))*100,0), 0)</f>
        <v>0</v>
      </c>
      <c r="E7" s="7">
        <v>110</v>
      </c>
      <c r="F7" s="6">
        <f ca="1">IF(OFFSET(F39, 0, -1)&lt;&gt;0, ROUND((IF(OFFSET(F7, 0, -1)="",0,OFFSET(F7, 0, -1))/OFFSET(F39, 0, -1))*100,0), 0)</f>
        <v>11</v>
      </c>
      <c r="H7" s="14" t="s">
        <v>10</v>
      </c>
      <c r="I7" s="15">
        <v>0</v>
      </c>
      <c r="J7" s="14">
        <f ca="1">IF(OFFSET(J27, 0, -1)&lt;&gt;0, ROUND((IF(OFFSET(J7, 0, -1)="",0,OFFSET(J7, 0, -1))/OFFSET(J27, 0, -1))*100,0), 0)</f>
        <v>0</v>
      </c>
      <c r="K7" s="15">
        <v>0</v>
      </c>
      <c r="L7" s="14">
        <f ca="1">IF(OFFSET(L27, 0, -1)&lt;&gt;0, ROUND((IF(OFFSET(L7, 0, -1)="",0,OFFSET(L7, 0, -1))/OFFSET(L27, 0, -1))*100,0), 0)</f>
        <v>0</v>
      </c>
    </row>
    <row r="8" spans="2:12">
      <c r="B8" s="4" t="s">
        <v>11</v>
      </c>
      <c r="C8" s="5">
        <v>0</v>
      </c>
      <c r="D8" s="4">
        <f ca="1">IF(OFFSET(D39, 0, -1)&lt;&gt;0, ROUND((IF(OFFSET(D8, 0, -1)="",0,OFFSET(D8, 0, -1))/OFFSET(D39, 0, -1))*100,0), 0)</f>
        <v>0</v>
      </c>
      <c r="E8" s="5">
        <v>0</v>
      </c>
      <c r="F8" s="4">
        <f ca="1">IF(OFFSET(F39, 0, -1)&lt;&gt;0, ROUND((IF(OFFSET(F8, 0, -1)="",0,OFFSET(F8, 0, -1))/OFFSET(F39, 0, -1))*100,0), 0)</f>
        <v>0</v>
      </c>
      <c r="H8" s="4" t="s">
        <v>12</v>
      </c>
      <c r="I8" s="5">
        <v>0</v>
      </c>
      <c r="J8" s="4">
        <f ca="1">IF(OFFSET(J27, 0, -1)&lt;&gt;0, ROUND((IF(OFFSET(J8, 0, -1)="",0,OFFSET(J8, 0, -1))/OFFSET(J27, 0, -1))*100,0), 0)</f>
        <v>0</v>
      </c>
      <c r="K8" s="5">
        <v>235</v>
      </c>
      <c r="L8" s="4">
        <f ca="1">IF(OFFSET(L27, 0, -1)&lt;&gt;0, ROUND((IF(OFFSET(L8, 0, -1)="",0,OFFSET(L8, 0, -1))/OFFSET(L27, 0, -1))*100,0), 0)</f>
        <v>17</v>
      </c>
    </row>
    <row r="9" spans="2:12">
      <c r="B9" s="6" t="s">
        <v>13</v>
      </c>
      <c r="C9" s="7">
        <v>0</v>
      </c>
      <c r="D9" s="6">
        <f ca="1">IF(OFFSET(D39, 0, -1)&lt;&gt;0, ROUND((IF(OFFSET(D9, 0, -1)="",0,OFFSET(D9, 0, -1))/OFFSET(D39, 0, -1))*100,0), 0)</f>
        <v>0</v>
      </c>
      <c r="E9" s="7">
        <v>244.8</v>
      </c>
      <c r="F9" s="6">
        <f ca="1">IF(OFFSET(F39, 0, -1)&lt;&gt;0, ROUND((IF(OFFSET(F9, 0, -1)="",0,OFFSET(F9, 0, -1))/OFFSET(F39, 0, -1))*100,0), 0)</f>
        <v>24</v>
      </c>
      <c r="H9" s="16"/>
      <c r="I9" s="17">
        <f>SUM(I6:I8)</f>
        <v>0</v>
      </c>
      <c r="J9" s="18">
        <f ca="1">SUM(J6:J8)</f>
        <v>0</v>
      </c>
      <c r="K9" s="17">
        <f>SUM(K6:K8)</f>
        <v>235</v>
      </c>
      <c r="L9" s="18">
        <f ca="1">SUM(L6:L8)</f>
        <v>17</v>
      </c>
    </row>
    <row r="10" spans="2:12">
      <c r="B10" s="4" t="s">
        <v>14</v>
      </c>
      <c r="C10" s="5">
        <v>0</v>
      </c>
      <c r="D10" s="4">
        <f ca="1">IF(OFFSET(D39, 0, -1)&lt;&gt;0, ROUND((IF(OFFSET(D10, 0, -1)="",0,OFFSET(D10, 0, -1))/OFFSET(D39, 0, -1))*100,0), 0)</f>
        <v>0</v>
      </c>
      <c r="E10" s="5">
        <v>0</v>
      </c>
      <c r="F10" s="4">
        <f ca="1">IF(OFFSET(F39, 0, -1)&lt;&gt;0, ROUND((IF(OFFSET(F10, 0, -1)="",0,OFFSET(F10, 0, -1))/OFFSET(F39, 0, -1))*100,0), 0)</f>
        <v>0</v>
      </c>
      <c r="H10" s="13" t="s">
        <v>15</v>
      </c>
      <c r="I10" s="13"/>
      <c r="J10" s="13"/>
      <c r="K10" s="13"/>
      <c r="L10" s="13"/>
    </row>
    <row r="11" spans="2:12">
      <c r="B11" s="6" t="s">
        <v>16</v>
      </c>
      <c r="C11" s="7">
        <v>118.8</v>
      </c>
      <c r="D11" s="6">
        <f ca="1">IF(OFFSET(D39, 0, -1)&lt;&gt;0, ROUND((IF(OFFSET(D11, 0, -1)="",0,OFFSET(D11, 0, -1))/OFFSET(D39, 0, -1))*100,0), 0)</f>
        <v>7</v>
      </c>
      <c r="E11" s="7">
        <v>118.8</v>
      </c>
      <c r="F11" s="6">
        <f ca="1">IF(OFFSET(F39, 0, -1)&lt;&gt;0, ROUND((IF(OFFSET(F11, 0, -1)="",0,OFFSET(F11, 0, -1))/OFFSET(F39, 0, -1))*100,0), 0)</f>
        <v>12</v>
      </c>
      <c r="H11" s="14" t="s">
        <v>17</v>
      </c>
      <c r="I11" s="15">
        <v>0</v>
      </c>
      <c r="J11" s="14">
        <f ca="1">IF(OFFSET(J27, 0, -1)&lt;&gt;0, ROUND((IF(OFFSET(J11, 0, -1)="",0,OFFSET(J11, 0, -1))/OFFSET(J27, 0, -1))*100,0), 0)</f>
        <v>0</v>
      </c>
      <c r="K11" s="15">
        <v>0</v>
      </c>
      <c r="L11" s="14">
        <f ca="1">IF(OFFSET(L27, 0, -1)&lt;&gt;0, ROUND((IF(OFFSET(L11, 0, -1)="",0,OFFSET(L11, 0, -1))/OFFSET(L27, 0, -1))*100,0), 0)</f>
        <v>0</v>
      </c>
    </row>
    <row r="12" spans="2:12">
      <c r="B12" s="4" t="s">
        <v>18</v>
      </c>
      <c r="C12" s="5">
        <v>0</v>
      </c>
      <c r="D12" s="4">
        <f ca="1">IF(OFFSET(D39, 0, -1)&lt;&gt;0, ROUND((IF(OFFSET(D12, 0, -1)="",0,OFFSET(D12, 0, -1))/OFFSET(D39, 0, -1))*100,0), 0)</f>
        <v>0</v>
      </c>
      <c r="E12" s="5">
        <v>0</v>
      </c>
      <c r="F12" s="4">
        <f ca="1">IF(OFFSET(F39, 0, -1)&lt;&gt;0, ROUND((IF(OFFSET(F12, 0, -1)="",0,OFFSET(F12, 0, -1))/OFFSET(F39, 0, -1))*100,0), 0)</f>
        <v>0</v>
      </c>
      <c r="H12" s="4" t="s">
        <v>19</v>
      </c>
      <c r="I12" s="5">
        <v>0</v>
      </c>
      <c r="J12" s="4">
        <f ca="1">IF(OFFSET(J27, 0, -1)&lt;&gt;0, ROUND((IF(OFFSET(J12, 0, -1)="",0,OFFSET(J12, 0, -1))/OFFSET(J27, 0, -1))*100,0), 0)</f>
        <v>0</v>
      </c>
      <c r="K12" s="5">
        <v>0</v>
      </c>
      <c r="L12" s="4">
        <f ca="1">IF(OFFSET(L27, 0, -1)&lt;&gt;0, ROUND((IF(OFFSET(L12, 0, -1)="",0,OFFSET(L12, 0, -1))/OFFSET(L27, 0, -1))*100,0), 0)</f>
        <v>0</v>
      </c>
    </row>
    <row r="13" spans="2:12">
      <c r="B13" s="6" t="s">
        <v>20</v>
      </c>
      <c r="C13" s="7">
        <v>180.7</v>
      </c>
      <c r="D13" s="6">
        <f ca="1">IF(OFFSET(D39, 0, -1)&lt;&gt;0, ROUND((IF(OFFSET(D13, 0, -1)="",0,OFFSET(D13, 0, -1))/OFFSET(D39, 0, -1))*100,0), 0)</f>
        <v>10</v>
      </c>
      <c r="E13" s="7">
        <v>106.35</v>
      </c>
      <c r="F13" s="6">
        <f ca="1">IF(OFFSET(F39, 0, -1)&lt;&gt;0, ROUND((IF(OFFSET(F13, 0, -1)="",0,OFFSET(F13, 0, -1))/OFFSET(F39, 0, -1))*100,0), 0)</f>
        <v>11</v>
      </c>
      <c r="H13" s="16"/>
      <c r="I13" s="17">
        <f>SUM(I11:I12)</f>
        <v>0</v>
      </c>
      <c r="J13" s="18">
        <f ca="1">SUM(J11:J12)</f>
        <v>0</v>
      </c>
      <c r="K13" s="17">
        <f>SUM(K11:K12)</f>
        <v>0</v>
      </c>
      <c r="L13" s="18">
        <f ca="1">SUM(L11:L12)</f>
        <v>0</v>
      </c>
    </row>
    <row r="14" spans="2:12">
      <c r="B14" s="4" t="s">
        <v>21</v>
      </c>
      <c r="C14" s="5">
        <v>0</v>
      </c>
      <c r="D14" s="4">
        <f ca="1">IF(OFFSET(D39, 0, -1)&lt;&gt;0, ROUND((IF(OFFSET(D14, 0, -1)="",0,OFFSET(D14, 0, -1))/OFFSET(D39, 0, -1))*100,0), 0)</f>
        <v>0</v>
      </c>
      <c r="E14" s="5">
        <v>0</v>
      </c>
      <c r="F14" s="4">
        <f ca="1">IF(OFFSET(F39, 0, -1)&lt;&gt;0, ROUND((IF(OFFSET(F14, 0, -1)="",0,OFFSET(F14, 0, -1))/OFFSET(F39, 0, -1))*100,0), 0)</f>
        <v>0</v>
      </c>
      <c r="H14" s="13" t="s">
        <v>22</v>
      </c>
      <c r="I14" s="13"/>
      <c r="J14" s="13"/>
      <c r="K14" s="13"/>
      <c r="L14" s="13"/>
    </row>
    <row r="15" spans="2:12">
      <c r="B15" s="6" t="s">
        <v>23</v>
      </c>
      <c r="C15" s="6"/>
      <c r="D15" s="6">
        <f ca="1">IF(OFFSET(D39, 0, -1)&lt;&gt;0, ROUND((IF(OFFSET(D15, 0, -1)="",0,OFFSET(D15, 0, -1))/OFFSET(D39, 0, -1))*100,0), 0)</f>
        <v>0</v>
      </c>
      <c r="E15" s="7">
        <v>0</v>
      </c>
      <c r="F15" s="6">
        <f ca="1">IF(OFFSET(F39, 0, -1)&lt;&gt;0, ROUND((IF(OFFSET(F15, 0, -1)="",0,OFFSET(F15, 0, -1))/OFFSET(F39, 0, -1))*100,0), 0)</f>
        <v>0</v>
      </c>
      <c r="H15" s="14" t="s">
        <v>24</v>
      </c>
      <c r="I15" s="15">
        <v>0</v>
      </c>
      <c r="J15" s="14">
        <f ca="1">IF(OFFSET(J27, 0, -1)&lt;&gt;0, ROUND((IF(OFFSET(J15, 0, -1)="",0,OFFSET(J15, 0, -1))/OFFSET(J27, 0, -1))*100,0), 0)</f>
        <v>0</v>
      </c>
      <c r="K15" s="15">
        <v>400</v>
      </c>
      <c r="L15" s="14">
        <f ca="1">IF(OFFSET(L27, 0, -1)&lt;&gt;0, ROUND((IF(OFFSET(L15, 0, -1)="",0,OFFSET(L15, 0, -1))/OFFSET(L27, 0, -1))*100,0), 0)</f>
        <v>29</v>
      </c>
    </row>
    <row r="16" spans="2:12">
      <c r="B16" s="8"/>
      <c r="C16" s="9">
        <f>SUM(C6:C15)</f>
        <v>402.5</v>
      </c>
      <c r="D16" s="10">
        <f ca="1">SUM(D6:D15)</f>
        <v>23</v>
      </c>
      <c r="E16" s="9">
        <f>SUM(E6:E15)</f>
        <v>579.95000000000005</v>
      </c>
      <c r="F16" s="10">
        <f ca="1">SUM(F6:F15)</f>
        <v>58</v>
      </c>
      <c r="H16" s="16"/>
      <c r="I16" s="17">
        <f>SUM(I15:I15)</f>
        <v>0</v>
      </c>
      <c r="J16" s="18">
        <f ca="1">SUM(J15:J15)</f>
        <v>0</v>
      </c>
      <c r="K16" s="17">
        <f>SUM(K15:K15)</f>
        <v>400</v>
      </c>
      <c r="L16" s="18">
        <f ca="1">SUM(L15:L15)</f>
        <v>29</v>
      </c>
    </row>
    <row r="17" spans="2:12">
      <c r="B17" s="3" t="s">
        <v>25</v>
      </c>
      <c r="C17" s="3"/>
      <c r="D17" s="3"/>
      <c r="E17" s="3"/>
      <c r="F17" s="3"/>
      <c r="H17" s="13" t="s">
        <v>26</v>
      </c>
      <c r="I17" s="13"/>
      <c r="J17" s="13"/>
      <c r="K17" s="13"/>
      <c r="L17" s="13"/>
    </row>
    <row r="18" spans="2:12">
      <c r="B18" s="4" t="s">
        <v>27</v>
      </c>
      <c r="C18" s="5">
        <v>0</v>
      </c>
      <c r="D18" s="4">
        <f ca="1">IF(OFFSET(D39, 0, -1)&lt;&gt;0, ROUND((IF(OFFSET(D18, 0, -1)="",0,OFFSET(D18, 0, -1))/OFFSET(D39, 0, -1))*100,0), 0)</f>
        <v>0</v>
      </c>
      <c r="E18" s="5">
        <v>90</v>
      </c>
      <c r="F18" s="4">
        <f ca="1">IF(OFFSET(F39, 0, -1)&lt;&gt;0, ROUND((IF(OFFSET(F18, 0, -1)="",0,OFFSET(F18, 0, -1))/OFFSET(F39, 0, -1))*100,0), 0)</f>
        <v>9</v>
      </c>
      <c r="H18" s="4" t="s">
        <v>28</v>
      </c>
      <c r="I18" s="5">
        <v>444.3</v>
      </c>
      <c r="J18" s="4">
        <f ca="1">IF(OFFSET(J27, 0, -1)&lt;&gt;0, ROUND((IF(OFFSET(J18, 0, -1)="",0,OFFSET(J18, 0, -1))/OFFSET(J27, 0, -1))*100,0), 0)</f>
        <v>74</v>
      </c>
      <c r="K18" s="5">
        <v>212</v>
      </c>
      <c r="L18" s="4">
        <f ca="1">IF(OFFSET(L27, 0, -1)&lt;&gt;0, ROUND((IF(OFFSET(L18, 0, -1)="",0,OFFSET(L18, 0, -1))/OFFSET(L27, 0, -1))*100,0), 0)</f>
        <v>15</v>
      </c>
    </row>
    <row r="19" spans="2:12">
      <c r="B19" s="8"/>
      <c r="C19" s="9">
        <f>SUM(C18:C18)</f>
        <v>0</v>
      </c>
      <c r="D19" s="10">
        <f ca="1">SUM(D18:D18)</f>
        <v>0</v>
      </c>
      <c r="E19" s="9">
        <f>SUM(E18:E18)</f>
        <v>90</v>
      </c>
      <c r="F19" s="10">
        <f ca="1">SUM(F18:F18)</f>
        <v>9</v>
      </c>
      <c r="H19" s="14" t="s">
        <v>29</v>
      </c>
      <c r="I19" s="15">
        <v>53.92</v>
      </c>
      <c r="J19" s="14">
        <f ca="1">IF(OFFSET(J27, 0, -1)&lt;&gt;0, ROUND((IF(OFFSET(J19, 0, -1)="",0,OFFSET(J19, 0, -1))/OFFSET(J27, 0, -1))*100,0), 0)</f>
        <v>9</v>
      </c>
      <c r="K19" s="15">
        <v>247.7</v>
      </c>
      <c r="L19" s="14">
        <f ca="1">IF(OFFSET(L27, 0, -1)&lt;&gt;0, ROUND((IF(OFFSET(L19, 0, -1)="",0,OFFSET(L19, 0, -1))/OFFSET(L27, 0, -1))*100,0), 0)</f>
        <v>18</v>
      </c>
    </row>
    <row r="20" spans="2:12">
      <c r="B20" s="3" t="s">
        <v>22</v>
      </c>
      <c r="C20" s="3"/>
      <c r="D20" s="3"/>
      <c r="E20" s="3"/>
      <c r="F20" s="3"/>
      <c r="H20" s="4" t="s">
        <v>30</v>
      </c>
      <c r="I20" s="5">
        <v>0</v>
      </c>
      <c r="J20" s="4">
        <f ca="1">IF(OFFSET(J27, 0, -1)&lt;&gt;0, ROUND((IF(OFFSET(J20, 0, -1)="",0,OFFSET(J20, 0, -1))/OFFSET(J27, 0, -1))*100,0), 0)</f>
        <v>0</v>
      </c>
      <c r="K20" s="5">
        <v>0</v>
      </c>
      <c r="L20" s="4">
        <f ca="1">IF(OFFSET(L27, 0, -1)&lt;&gt;0, ROUND((IF(OFFSET(L20, 0, -1)="",0,OFFSET(L20, 0, -1))/OFFSET(L27, 0, -1))*100,0), 0)</f>
        <v>0</v>
      </c>
    </row>
    <row r="21" spans="2:12">
      <c r="B21" s="6" t="s">
        <v>31</v>
      </c>
      <c r="C21" s="7">
        <v>0</v>
      </c>
      <c r="D21" s="6">
        <f ca="1">IF(OFFSET(D39, 0, -1)&lt;&gt;0, ROUND((IF(OFFSET(D21, 0, -1)="",0,OFFSET(D21, 0, -1))/OFFSET(D39, 0, -1))*100,0), 0)</f>
        <v>0</v>
      </c>
      <c r="E21" s="7">
        <v>0</v>
      </c>
      <c r="F21" s="6">
        <f ca="1">IF(OFFSET(F39, 0, -1)&lt;&gt;0, ROUND((IF(OFFSET(F21, 0, -1)="",0,OFFSET(F21, 0, -1))/OFFSET(F39, 0, -1))*100,0), 0)</f>
        <v>0</v>
      </c>
      <c r="H21" s="14" t="s">
        <v>32</v>
      </c>
      <c r="I21" s="15">
        <v>0</v>
      </c>
      <c r="J21" s="14">
        <f ca="1">IF(OFFSET(J27, 0, -1)&lt;&gt;0, ROUND((IF(OFFSET(J21, 0, -1)="",0,OFFSET(J21, 0, -1))/OFFSET(J27, 0, -1))*100,0), 0)</f>
        <v>0</v>
      </c>
      <c r="K21" s="15">
        <v>30</v>
      </c>
      <c r="L21" s="14">
        <f ca="1">IF(OFFSET(L27, 0, -1)&lt;&gt;0, ROUND((IF(OFFSET(L21, 0, -1)="",0,OFFSET(L21, 0, -1))/OFFSET(L27, 0, -1))*100,0), 0)</f>
        <v>2</v>
      </c>
    </row>
    <row r="22" spans="2:12">
      <c r="B22" s="8"/>
      <c r="C22" s="9">
        <f>SUM(C21:C21)</f>
        <v>0</v>
      </c>
      <c r="D22" s="10">
        <f ca="1">SUM(D21:D21)</f>
        <v>0</v>
      </c>
      <c r="E22" s="9">
        <f>SUM(E21:E21)</f>
        <v>0</v>
      </c>
      <c r="F22" s="10">
        <f ca="1">SUM(F21:F21)</f>
        <v>0</v>
      </c>
      <c r="H22" s="4" t="s">
        <v>33</v>
      </c>
      <c r="I22" s="5">
        <v>0</v>
      </c>
      <c r="J22" s="4">
        <f ca="1">IF(OFFSET(J27, 0, -1)&lt;&gt;0, ROUND((IF(OFFSET(J22, 0, -1)="",0,OFFSET(J22, 0, -1))/OFFSET(J27, 0, -1))*100,0), 0)</f>
        <v>0</v>
      </c>
      <c r="K22" s="5">
        <v>0</v>
      </c>
      <c r="L22" s="4">
        <f ca="1">IF(OFFSET(L27, 0, -1)&lt;&gt;0, ROUND((IF(OFFSET(L22, 0, -1)="",0,OFFSET(L22, 0, -1))/OFFSET(L27, 0, -1))*100,0), 0)</f>
        <v>0</v>
      </c>
    </row>
    <row r="23" spans="2:12">
      <c r="B23" s="3" t="s">
        <v>26</v>
      </c>
      <c r="C23" s="3"/>
      <c r="D23" s="3"/>
      <c r="E23" s="3"/>
      <c r="F23" s="3"/>
      <c r="H23" s="14" t="s">
        <v>34</v>
      </c>
      <c r="I23" s="15">
        <v>0</v>
      </c>
      <c r="J23" s="14">
        <f ca="1">IF(OFFSET(J27, 0, -1)&lt;&gt;0, ROUND((IF(OFFSET(J23, 0, -1)="",0,OFFSET(J23, 0, -1))/OFFSET(J27, 0, -1))*100,0), 0)</f>
        <v>0</v>
      </c>
      <c r="K23" s="15">
        <v>0</v>
      </c>
      <c r="L23" s="14">
        <f ca="1">IF(OFFSET(L27, 0, -1)&lt;&gt;0, ROUND((IF(OFFSET(L23, 0, -1)="",0,OFFSET(L23, 0, -1))/OFFSET(L27, 0, -1))*100,0), 0)</f>
        <v>0</v>
      </c>
    </row>
    <row r="24" spans="2:12">
      <c r="B24" s="4" t="s">
        <v>35</v>
      </c>
      <c r="C24" s="5">
        <v>612</v>
      </c>
      <c r="D24" s="4">
        <f ca="1">IF(OFFSET(D39, 0, -1)&lt;&gt;0, ROUND((IF(OFFSET(D24, 0, -1)="",0,OFFSET(D24, 0, -1))/OFFSET(D39, 0, -1))*100,0), 0)</f>
        <v>34</v>
      </c>
      <c r="E24" s="5">
        <v>0</v>
      </c>
      <c r="F24" s="4">
        <f ca="1">IF(OFFSET(F39, 0, -1)&lt;&gt;0, ROUND((IF(OFFSET(F24, 0, -1)="",0,OFFSET(F24, 0, -1))/OFFSET(F39, 0, -1))*100,0), 0)</f>
        <v>0</v>
      </c>
      <c r="H24" s="4" t="s">
        <v>36</v>
      </c>
      <c r="I24" s="5">
        <v>101.47</v>
      </c>
      <c r="J24" s="4">
        <f ca="1">IF(OFFSET(J27, 0, -1)&lt;&gt;0, ROUND((IF(OFFSET(J24, 0, -1)="",0,OFFSET(J24, 0, -1))/OFFSET(J27, 0, -1))*100,0), 0)</f>
        <v>17</v>
      </c>
      <c r="K24" s="5">
        <v>261.16000000000003</v>
      </c>
      <c r="L24" s="4">
        <f ca="1">IF(OFFSET(L27, 0, -1)&lt;&gt;0, ROUND((IF(OFFSET(L24, 0, -1)="",0,OFFSET(L24, 0, -1))/OFFSET(L27, 0, -1))*100,0), 0)</f>
        <v>19</v>
      </c>
    </row>
    <row r="25" spans="2:12">
      <c r="B25" s="6" t="s">
        <v>28</v>
      </c>
      <c r="C25" s="7">
        <v>0</v>
      </c>
      <c r="D25" s="6">
        <f ca="1">IF(OFFSET(D39, 0, -1)&lt;&gt;0, ROUND((IF(OFFSET(D25, 0, -1)="",0,OFFSET(D25, 0, -1))/OFFSET(D39, 0, -1))*100,0), 0)</f>
        <v>0</v>
      </c>
      <c r="E25" s="7">
        <v>0</v>
      </c>
      <c r="F25" s="6">
        <f ca="1">IF(OFFSET(F39, 0, -1)&lt;&gt;0, ROUND((IF(OFFSET(F25, 0, -1)="",0,OFFSET(F25, 0, -1))/OFFSET(F39, 0, -1))*100,0), 0)</f>
        <v>0</v>
      </c>
      <c r="H25" s="14" t="s">
        <v>37</v>
      </c>
      <c r="I25" s="15">
        <v>0</v>
      </c>
      <c r="J25" s="14">
        <f ca="1">IF(OFFSET(J27, 0, -1)&lt;&gt;0, ROUND((IF(OFFSET(J25, 0, -1)="",0,OFFSET(J25, 0, -1))/OFFSET(J27, 0, -1))*100,0), 0)</f>
        <v>0</v>
      </c>
      <c r="K25" s="15">
        <v>0</v>
      </c>
      <c r="L25" s="14">
        <f ca="1">IF(OFFSET(L27, 0, -1)&lt;&gt;0, ROUND((IF(OFFSET(L25, 0, -1)="",0,OFFSET(L25, 0, -1))/OFFSET(L27, 0, -1))*100,0), 0)</f>
        <v>0</v>
      </c>
    </row>
    <row r="26" spans="2:12">
      <c r="B26" s="4" t="s">
        <v>38</v>
      </c>
      <c r="C26" s="5">
        <v>0</v>
      </c>
      <c r="D26" s="4">
        <f ca="1">IF(OFFSET(D39, 0, -1)&lt;&gt;0, ROUND((IF(OFFSET(D26, 0, -1)="",0,OFFSET(D26, 0, -1))/OFFSET(D39, 0, -1))*100,0), 0)</f>
        <v>0</v>
      </c>
      <c r="E26" s="5">
        <v>0</v>
      </c>
      <c r="F26" s="4">
        <f ca="1">IF(OFFSET(F39, 0, -1)&lt;&gt;0, ROUND((IF(OFFSET(F26, 0, -1)="",0,OFFSET(F26, 0, -1))/OFFSET(F39, 0, -1))*100,0), 0)</f>
        <v>0</v>
      </c>
      <c r="H26" s="16"/>
      <c r="I26" s="17">
        <f>SUM(I18:I25)</f>
        <v>599.69000000000005</v>
      </c>
      <c r="J26" s="18">
        <f ca="1">SUM(J18:J25)</f>
        <v>100</v>
      </c>
      <c r="K26" s="17">
        <f>SUM(K18:K25)</f>
        <v>750.86</v>
      </c>
      <c r="L26" s="18">
        <f ca="1">SUM(L18:L25)</f>
        <v>54</v>
      </c>
    </row>
    <row r="27" spans="2:12">
      <c r="B27" s="6" t="s">
        <v>39</v>
      </c>
      <c r="C27" s="7">
        <v>800.04</v>
      </c>
      <c r="D27" s="6">
        <f ca="1">IF(OFFSET(D39, 0, -1)&lt;&gt;0, ROUND((IF(OFFSET(D27, 0, -1)="",0,OFFSET(D27, 0, -1))/OFFSET(D39, 0, -1))*100,0), 0)</f>
        <v>44</v>
      </c>
      <c r="E27" s="7">
        <v>339.3</v>
      </c>
      <c r="F27" s="6">
        <f ca="1">IF(OFFSET(F39, 0, -1)&lt;&gt;0, ROUND((IF(OFFSET(F27, 0, -1)="",0,OFFSET(F27, 0, -1))/OFFSET(F39, 0, -1))*100,0), 0)</f>
        <v>34</v>
      </c>
      <c r="H27" s="11" t="s">
        <v>40</v>
      </c>
      <c r="I27" s="12">
        <f>SUM(I6:I8)+SUM(I11:I12)+SUM(I15:I15)+SUM(I18:I25)</f>
        <v>599.69000000000005</v>
      </c>
      <c r="J27" s="11"/>
      <c r="K27" s="12">
        <f>SUM(K6:K8)+SUM(K11:K12)+SUM(K15:K15)+SUM(K18:K25)</f>
        <v>1385.8600000000001</v>
      </c>
      <c r="L27" s="11"/>
    </row>
    <row r="28" spans="2:12">
      <c r="B28" s="4" t="s">
        <v>41</v>
      </c>
      <c r="C28" s="5">
        <v>0</v>
      </c>
      <c r="D28" s="4">
        <f ca="1">IF(OFFSET(D39, 0, -1)&lt;&gt;0, ROUND((IF(OFFSET(D28, 0, -1)="",0,OFFSET(D28, 0, -1))/OFFSET(D39, 0, -1))*100,0), 0)</f>
        <v>0</v>
      </c>
      <c r="E28" s="5">
        <v>0</v>
      </c>
      <c r="F28" s="4">
        <f ca="1">IF(OFFSET(F39, 0, -1)&lt;&gt;0, ROUND((IF(OFFSET(F28, 0, -1)="",0,OFFSET(F28, 0, -1))/OFFSET(F39, 0, -1))*100,0), 0)</f>
        <v>0</v>
      </c>
    </row>
    <row r="29" spans="2:12">
      <c r="B29" s="6" t="s">
        <v>42</v>
      </c>
      <c r="C29" s="7">
        <v>0</v>
      </c>
      <c r="D29" s="6">
        <f ca="1">IF(OFFSET(D39, 0, -1)&lt;&gt;0, ROUND((IF(OFFSET(D29, 0, -1)="",0,OFFSET(D29, 0, -1))/OFFSET(D39, 0, -1))*100,0), 0)</f>
        <v>0</v>
      </c>
      <c r="E29" s="7">
        <v>0</v>
      </c>
      <c r="F29" s="6">
        <f ca="1">IF(OFFSET(F39, 0, -1)&lt;&gt;0, ROUND((IF(OFFSET(F29, 0, -1)="",0,OFFSET(F29, 0, -1))/OFFSET(F39, 0, -1))*100,0), 0)</f>
        <v>0</v>
      </c>
    </row>
    <row r="30" spans="2:12">
      <c r="B30" s="4" t="s">
        <v>37</v>
      </c>
      <c r="C30" s="5">
        <v>0</v>
      </c>
      <c r="D30" s="4">
        <f ca="1">IF(OFFSET(D39, 0, -1)&lt;&gt;0, ROUND((IF(OFFSET(D30, 0, -1)="",0,OFFSET(D30, 0, -1))/OFFSET(D39, 0, -1))*100,0), 0)</f>
        <v>0</v>
      </c>
      <c r="E30" s="5">
        <v>0</v>
      </c>
      <c r="F30" s="4">
        <f ca="1">IF(OFFSET(F39, 0, -1)&lt;&gt;0, ROUND((IF(OFFSET(F30, 0, -1)="",0,OFFSET(F30, 0, -1))/OFFSET(F39, 0, -1))*100,0), 0)</f>
        <v>0</v>
      </c>
    </row>
    <row r="31" spans="2:12">
      <c r="B31" s="6" t="s">
        <v>43</v>
      </c>
      <c r="C31" s="7">
        <v>0</v>
      </c>
      <c r="D31" s="6">
        <f ca="1">IF(OFFSET(D39, 0, -1)&lt;&gt;0, ROUND((IF(OFFSET(D31, 0, -1)="",0,OFFSET(D31, 0, -1))/OFFSET(D39, 0, -1))*100,0), 0)</f>
        <v>0</v>
      </c>
      <c r="E31" s="7">
        <v>0</v>
      </c>
      <c r="F31" s="6">
        <f ca="1">IF(OFFSET(F39, 0, -1)&lt;&gt;0, ROUND((IF(OFFSET(F31, 0, -1)="",0,OFFSET(F31, 0, -1))/OFFSET(F39, 0, -1))*100,0), 0)</f>
        <v>0</v>
      </c>
    </row>
    <row r="32" spans="2:12">
      <c r="B32" s="8"/>
      <c r="C32" s="9">
        <f>SUM(C24:C31)</f>
        <v>1412.04</v>
      </c>
      <c r="D32" s="10">
        <f ca="1">SUM(D24:D31)</f>
        <v>78</v>
      </c>
      <c r="E32" s="9">
        <f>SUM(E24:E31)</f>
        <v>339.3</v>
      </c>
      <c r="F32" s="10">
        <f ca="1">SUM(F24:F31)</f>
        <v>34</v>
      </c>
    </row>
    <row r="33" spans="2:12">
      <c r="B33" s="3" t="s">
        <v>44</v>
      </c>
      <c r="C33" s="3"/>
      <c r="D33" s="3"/>
      <c r="E33" s="3"/>
      <c r="F33" s="3"/>
    </row>
    <row r="34" spans="2:12">
      <c r="B34" s="4" t="s">
        <v>45</v>
      </c>
      <c r="C34" s="5">
        <v>0</v>
      </c>
      <c r="D34" s="4">
        <f ca="1">IF(OFFSET(D39, 0, -1)&lt;&gt;0, ROUND((IF(OFFSET(D34, 0, -1)="",0,OFFSET(D34, 0, -1))/OFFSET(D39, 0, -1))*100,0), 0)</f>
        <v>0</v>
      </c>
      <c r="E34" s="5">
        <v>0</v>
      </c>
      <c r="F34" s="4">
        <f ca="1">IF(OFFSET(F39, 0, -1)&lt;&gt;0, ROUND((IF(OFFSET(F34, 0, -1)="",0,OFFSET(F34, 0, -1))/OFFSET(F39, 0, -1))*100,0), 0)</f>
        <v>0</v>
      </c>
    </row>
    <row r="35" spans="2:12">
      <c r="B35" s="6" t="s">
        <v>30</v>
      </c>
      <c r="C35" s="7">
        <v>0</v>
      </c>
      <c r="D35" s="6">
        <f ca="1">IF(OFFSET(D39, 0, -1)&lt;&gt;0, ROUND((IF(OFFSET(D35, 0, -1)="",0,OFFSET(D35, 0, -1))/OFFSET(D39, 0, -1))*100,0), 0)</f>
        <v>0</v>
      </c>
      <c r="E35" s="7">
        <v>0</v>
      </c>
      <c r="F35" s="6">
        <f ca="1">IF(OFFSET(F39, 0, -1)&lt;&gt;0, ROUND((IF(OFFSET(F35, 0, -1)="",0,OFFSET(F35, 0, -1))/OFFSET(F39, 0, -1))*100,0), 0)</f>
        <v>0</v>
      </c>
    </row>
    <row r="36" spans="2:12">
      <c r="B36" s="4" t="s">
        <v>32</v>
      </c>
      <c r="C36" s="5">
        <v>0</v>
      </c>
      <c r="D36" s="4">
        <f ca="1">IF(OFFSET(D39, 0, -1)&lt;&gt;0, ROUND((IF(OFFSET(D36, 0, -1)="",0,OFFSET(D36, 0, -1))/OFFSET(D39, 0, -1))*100,0), 0)</f>
        <v>0</v>
      </c>
      <c r="E36" s="5">
        <v>0</v>
      </c>
      <c r="F36" s="4">
        <f ca="1">IF(OFFSET(F39, 0, -1)&lt;&gt;0, ROUND((IF(OFFSET(F36, 0, -1)="",0,OFFSET(F36, 0, -1))/OFFSET(F39, 0, -1))*100,0), 0)</f>
        <v>0</v>
      </c>
    </row>
    <row r="37" spans="2:12">
      <c r="B37" s="6" t="s">
        <v>33</v>
      </c>
      <c r="C37" s="7">
        <v>0</v>
      </c>
      <c r="D37" s="6">
        <f ca="1">IF(OFFSET(D39, 0, -1)&lt;&gt;0, ROUND((IF(OFFSET(D37, 0, -1)="",0,OFFSET(D37, 0, -1))/OFFSET(D39, 0, -1))*100,0), 0)</f>
        <v>0</v>
      </c>
      <c r="E37" s="7">
        <v>0</v>
      </c>
      <c r="F37" s="6">
        <f ca="1">IF(OFFSET(F39, 0, -1)&lt;&gt;0, ROUND((IF(OFFSET(F37, 0, -1)="",0,OFFSET(F37, 0, -1))/OFFSET(F39, 0, -1))*100,0), 0)</f>
        <v>0</v>
      </c>
    </row>
    <row r="38" spans="2:12">
      <c r="B38" s="8"/>
      <c r="C38" s="9">
        <f>SUM(C34:C37)</f>
        <v>0</v>
      </c>
      <c r="D38" s="10">
        <f ca="1">SUM(D34:D37)</f>
        <v>0</v>
      </c>
      <c r="E38" s="9">
        <f>SUM(E34:E37)</f>
        <v>0</v>
      </c>
      <c r="F38" s="10">
        <f ca="1">SUM(F34:F37)</f>
        <v>0</v>
      </c>
    </row>
    <row r="39" spans="2:12">
      <c r="B39" s="11" t="s">
        <v>46</v>
      </c>
      <c r="C39" s="12">
        <f>SUM(C6:C15)+SUM(C18:C18)+SUM(C21:C21)+SUM(C24:C31)+SUM(C34:C37)</f>
        <v>1814.54</v>
      </c>
      <c r="D39" s="11"/>
      <c r="E39" s="12">
        <f>SUM(E6:E15)+SUM(E18:E18)+SUM(E21:E21)+SUM(E24:E31)+SUM(E34:E37)</f>
        <v>1009.25</v>
      </c>
      <c r="F39" s="11"/>
    </row>
    <row r="40" spans="2:12">
      <c r="B40" s="11" t="str">
        <f>IF(COUNT(C40:F40)=0,"","Gewinn")</f>
        <v>Gewinn</v>
      </c>
      <c r="C40" s="12" t="str">
        <f>IF((C39)&lt;(I27),(I27)-(C39),"")</f>
        <v/>
      </c>
      <c r="D40" s="11"/>
      <c r="E40" s="12">
        <f>IF((E39)&lt;(K27),(K27)-(E39),"")</f>
        <v>376.61000000000013</v>
      </c>
      <c r="F40" s="11"/>
      <c r="G40" s="11"/>
      <c r="H40" s="11" t="str">
        <f>IF(COUNT(I40:L40)=0,"","Verlust")</f>
        <v>Verlust</v>
      </c>
      <c r="I40" s="12">
        <f>IF((C39)&lt;(I27),"",(C39)-(I27))</f>
        <v>1214.8499999999999</v>
      </c>
      <c r="J40" s="11"/>
      <c r="K40" s="12" t="str">
        <f>IF((E39)&lt;(K27),"",(E39)-(K27))</f>
        <v/>
      </c>
      <c r="L40" s="11"/>
    </row>
  </sheetData>
  <mergeCells count="1">
    <mergeCell ref="B2:L2"/>
  </mergeCells>
  <pageMargins left="0.7" right="0.7" top="0.75" bottom="0.75" header="0.3" footer="0.3"/>
  <pageSetup paperSize="9" orientation="landscape"/>
  <headerFooter>
    <oddFooter>&amp;LBuchhaltung Buchungsperiode 2024&amp;C &amp;R exportiert am 26.01.2026 - gedruckt am &amp;D (&amp;T) Seite &amp;P / &amp;N</oddFooter>
    <evenFooter>&amp;LBuchhaltung Buchungsperiode 2024&amp;C &amp;R exportiert am 26.01.2026 - gedruckt am &amp;D (&amp;T) Seite &amp;P /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L17"/>
  <sheetViews>
    <sheetView showGridLines="0" workbookViewId="0">
      <selection activeCell="K17" sqref="K17"/>
    </sheetView>
  </sheetViews>
  <sheetFormatPr defaultRowHeight="15.95" customHeight="1"/>
  <cols>
    <col min="1" max="1" width="2" customWidth="1"/>
    <col min="2" max="2" width="29.42578125" bestFit="1" customWidth="1"/>
    <col min="3" max="3" width="10.85546875" bestFit="1" customWidth="1"/>
    <col min="4" max="4" width="3.42578125" bestFit="1" customWidth="1"/>
    <col min="5" max="5" width="10.85546875" bestFit="1" customWidth="1"/>
    <col min="6" max="6" width="3.42578125" bestFit="1" customWidth="1"/>
    <col min="7" max="7" width="2" customWidth="1"/>
    <col min="8" max="8" width="17.5703125" bestFit="1" customWidth="1"/>
    <col min="9" max="9" width="10.85546875" bestFit="1" customWidth="1"/>
    <col min="10" max="10" width="3.42578125" bestFit="1" customWidth="1"/>
    <col min="11" max="11" width="10.85546875" bestFit="1" customWidth="1"/>
    <col min="12" max="12" width="3.42578125" bestFit="1" customWidth="1"/>
  </cols>
  <sheetData>
    <row r="2" spans="2:12" ht="24" customHeight="1">
      <c r="B2" s="20" t="s">
        <v>47</v>
      </c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2:12">
      <c r="B4" s="1" t="s">
        <v>48</v>
      </c>
      <c r="C4" s="2" t="s">
        <v>2</v>
      </c>
      <c r="D4" s="2" t="s">
        <v>3</v>
      </c>
      <c r="E4" s="2" t="s">
        <v>4</v>
      </c>
      <c r="F4" s="2" t="s">
        <v>3</v>
      </c>
      <c r="H4" s="1" t="s">
        <v>49</v>
      </c>
      <c r="I4" s="2" t="s">
        <v>2</v>
      </c>
      <c r="J4" s="2" t="s">
        <v>3</v>
      </c>
      <c r="K4" s="2" t="s">
        <v>4</v>
      </c>
      <c r="L4" s="2" t="s">
        <v>3</v>
      </c>
    </row>
    <row r="5" spans="2:12">
      <c r="B5" s="3" t="s">
        <v>50</v>
      </c>
      <c r="C5" s="3"/>
      <c r="D5" s="3"/>
      <c r="E5" s="3"/>
      <c r="F5" s="3"/>
      <c r="H5" s="13" t="s">
        <v>51</v>
      </c>
      <c r="I5" s="13"/>
      <c r="J5" s="13"/>
      <c r="K5" s="13"/>
      <c r="L5" s="13"/>
    </row>
    <row r="6" spans="2:12">
      <c r="B6" s="4" t="s">
        <v>52</v>
      </c>
      <c r="C6" s="5">
        <v>100</v>
      </c>
      <c r="D6" s="4">
        <f ca="1">IF(OFFSET(D16, 0, -1)&lt;&gt;0, ROUND((IF(OFFSET(D6, 0, -1)="",0,OFFSET(D6, 0, -1))/OFFSET(D16, 0, -1))*100,0), 0)</f>
        <v>4</v>
      </c>
      <c r="E6" s="5">
        <v>100</v>
      </c>
      <c r="F6" s="4">
        <f ca="1">IF(OFFSET(F16, 0, -1)&lt;&gt;0, ROUND((IF(OFFSET(F6, 0, -1)="",0,OFFSET(F6, 0, -1))/OFFSET(F16, 0, -1))*100,0), 0)</f>
        <v>3</v>
      </c>
      <c r="H6" s="4" t="s">
        <v>53</v>
      </c>
      <c r="I6" s="5">
        <v>1180.67</v>
      </c>
      <c r="J6" s="4">
        <f ca="1">IF(OFFSET(J12, 0, -1)&lt;&gt;0, ROUND((IF(OFFSET(J6, 0, -1)="",0,OFFSET(J6, 0, -1))/OFFSET(J12, 0, -1))*100,0), 0)</f>
        <v>31</v>
      </c>
      <c r="K6" s="5">
        <v>964.87</v>
      </c>
      <c r="L6" s="4">
        <f ca="1">IF(OFFSET(L12, 0, -1)&lt;&gt;0, ROUND((IF(OFFSET(L6, 0, -1)="",0,OFFSET(L6, 0, -1))/OFFSET(L12, 0, -1))*100,0), 0)</f>
        <v>30</v>
      </c>
    </row>
    <row r="7" spans="2:12">
      <c r="B7" s="6" t="s">
        <v>54</v>
      </c>
      <c r="C7" s="7">
        <v>0</v>
      </c>
      <c r="D7" s="6">
        <f ca="1">IF(OFFSET(D16, 0, -1)&lt;&gt;0, ROUND((IF(OFFSET(D7, 0, -1)="",0,OFFSET(D7, 0, -1))/OFFSET(D16, 0, -1))*100,0), 0)</f>
        <v>0</v>
      </c>
      <c r="E7" s="7">
        <v>0</v>
      </c>
      <c r="F7" s="6">
        <f ca="1">IF(OFFSET(F16, 0, -1)&lt;&gt;0, ROUND((IF(OFFSET(F7, 0, -1)="",0,OFFSET(F7, 0, -1))/OFFSET(F16, 0, -1))*100,0), 0)</f>
        <v>0</v>
      </c>
      <c r="H7" s="16"/>
      <c r="I7" s="17">
        <f>SUM(I6:I6)</f>
        <v>1180.67</v>
      </c>
      <c r="J7" s="18">
        <f ca="1">SUM(J6:J6)</f>
        <v>31</v>
      </c>
      <c r="K7" s="17">
        <f>SUM(K6:K6)</f>
        <v>964.87</v>
      </c>
      <c r="L7" s="18">
        <f ca="1">SUM(L6:L6)</f>
        <v>30</v>
      </c>
    </row>
    <row r="8" spans="2:12">
      <c r="B8" s="4" t="s">
        <v>55</v>
      </c>
      <c r="C8" s="5">
        <v>2344.9</v>
      </c>
      <c r="D8" s="4">
        <f ca="1">IF(OFFSET(D16, 0, -1)&lt;&gt;0, ROUND((IF(OFFSET(D8, 0, -1)="",0,OFFSET(D8, 0, -1))/OFFSET(D16, 0, -1))*100,0), 0)</f>
        <v>89</v>
      </c>
      <c r="E8" s="5">
        <v>3343.95</v>
      </c>
      <c r="F8" s="4">
        <f ca="1">IF(OFFSET(F16, 0, -1)&lt;&gt;0, ROUND((IF(OFFSET(F8, 0, -1)="",0,OFFSET(F8, 0, -1))/OFFSET(F16, 0, -1))*100,0), 0)</f>
        <v>92</v>
      </c>
      <c r="H8" s="13" t="s">
        <v>56</v>
      </c>
      <c r="I8" s="13"/>
      <c r="J8" s="13"/>
      <c r="K8" s="13"/>
      <c r="L8" s="13"/>
    </row>
    <row r="9" spans="2:12">
      <c r="B9" s="6" t="s">
        <v>57</v>
      </c>
      <c r="C9" s="7">
        <v>0</v>
      </c>
      <c r="D9" s="6">
        <f ca="1">IF(OFFSET(D16, 0, -1)&lt;&gt;0, ROUND((IF(OFFSET(D9, 0, -1)="",0,OFFSET(D9, 0, -1))/OFFSET(D16, 0, -1))*100,0), 0)</f>
        <v>0</v>
      </c>
      <c r="E9" s="7">
        <v>0</v>
      </c>
      <c r="F9" s="6">
        <f ca="1">IF(OFFSET(F16, 0, -1)&lt;&gt;0, ROUND((IF(OFFSET(F9, 0, -1)="",0,OFFSET(F9, 0, -1))/OFFSET(F16, 0, -1))*100,0), 0)</f>
        <v>0</v>
      </c>
      <c r="H9" s="14" t="s">
        <v>56</v>
      </c>
      <c r="I9" s="15">
        <v>2479.08</v>
      </c>
      <c r="J9" s="14">
        <f ca="1">IF(OFFSET(J12, 0, -1)&lt;&gt;0, ROUND((IF(OFFSET(J9, 0, -1)="",0,OFFSET(J9, 0, -1))/OFFSET(J12, 0, -1))*100,0), 0)</f>
        <v>64</v>
      </c>
      <c r="K9" s="15">
        <v>2102.4699999999998</v>
      </c>
      <c r="L9" s="14">
        <f ca="1">IF(OFFSET(L12, 0, -1)&lt;&gt;0, ROUND((IF(OFFSET(L9, 0, -1)="",0,OFFSET(L9, 0, -1))/OFFSET(L12, 0, -1))*100,0), 0)</f>
        <v>64</v>
      </c>
    </row>
    <row r="10" spans="2:12">
      <c r="B10" s="4" t="s">
        <v>58</v>
      </c>
      <c r="C10" s="5">
        <v>0</v>
      </c>
      <c r="D10" s="4">
        <f ca="1">IF(OFFSET(D16, 0, -1)&lt;&gt;0, ROUND((IF(OFFSET(D10, 0, -1)="",0,OFFSET(D10, 0, -1))/OFFSET(D16, 0, -1))*100,0), 0)</f>
        <v>0</v>
      </c>
      <c r="E10" s="5">
        <v>0</v>
      </c>
      <c r="F10" s="4">
        <f ca="1">IF(OFFSET(F16, 0, -1)&lt;&gt;0, ROUND((IF(OFFSET(F10, 0, -1)="",0,OFFSET(F10, 0, -1))/OFFSET(F16, 0, -1))*100,0), 0)</f>
        <v>0</v>
      </c>
      <c r="H10" s="4" t="s">
        <v>59</v>
      </c>
      <c r="I10" s="5">
        <v>200</v>
      </c>
      <c r="J10" s="4">
        <f ca="1">IF(OFFSET(J12, 0, -1)&lt;&gt;0, ROUND((IF(OFFSET(J10, 0, -1)="",0,OFFSET(J10, 0, -1))/OFFSET(J12, 0, -1))*100,0), 0)</f>
        <v>5</v>
      </c>
      <c r="K10" s="5">
        <v>200</v>
      </c>
      <c r="L10" s="4">
        <f ca="1">IF(OFFSET(L12, 0, -1)&lt;&gt;0, ROUND((IF(OFFSET(L10, 0, -1)="",0,OFFSET(L10, 0, -1))/OFFSET(L12, 0, -1))*100,0), 0)</f>
        <v>6</v>
      </c>
    </row>
    <row r="11" spans="2:12">
      <c r="B11" s="8"/>
      <c r="C11" s="9">
        <f>SUM(C6:C10)</f>
        <v>2444.9</v>
      </c>
      <c r="D11" s="10">
        <f ca="1">SUM(D6:D10)</f>
        <v>93</v>
      </c>
      <c r="E11" s="9">
        <f>SUM(E6:E10)</f>
        <v>3443.95</v>
      </c>
      <c r="F11" s="10">
        <f ca="1">SUM(F6:F10)</f>
        <v>95</v>
      </c>
      <c r="H11" s="16"/>
      <c r="I11" s="17">
        <f>SUM(I9:I10)</f>
        <v>2679.08</v>
      </c>
      <c r="J11" s="18">
        <f ca="1">SUM(J9:J10)</f>
        <v>69</v>
      </c>
      <c r="K11" s="17">
        <f>SUM(K9:K10)</f>
        <v>2302.4699999999998</v>
      </c>
      <c r="L11" s="18">
        <f ca="1">SUM(L9:L10)</f>
        <v>70</v>
      </c>
    </row>
    <row r="12" spans="2:12">
      <c r="B12" s="3" t="s">
        <v>60</v>
      </c>
      <c r="C12" s="3"/>
      <c r="D12" s="3"/>
      <c r="E12" s="3"/>
      <c r="F12" s="3"/>
      <c r="H12" s="11" t="s">
        <v>61</v>
      </c>
      <c r="I12" s="12">
        <f>SUM(I6:I6)+SUM(I9:I10)</f>
        <v>3859.75</v>
      </c>
      <c r="J12" s="11"/>
      <c r="K12" s="12">
        <f>SUM(K6:K6)+SUM(K9:K10)</f>
        <v>3267.3399999999997</v>
      </c>
      <c r="L12" s="11"/>
    </row>
    <row r="13" spans="2:12">
      <c r="B13" s="6" t="s">
        <v>62</v>
      </c>
      <c r="C13" s="7">
        <v>200</v>
      </c>
      <c r="D13" s="6">
        <f ca="1">IF(OFFSET(D16, 0, -1)&lt;&gt;0, ROUND((IF(OFFSET(D13, 0, -1)="",0,OFFSET(D13, 0, -1))/OFFSET(D16, 0, -1))*100,0), 0)</f>
        <v>8</v>
      </c>
      <c r="E13" s="7">
        <v>200</v>
      </c>
      <c r="F13" s="6">
        <f ca="1">IF(OFFSET(F16, 0, -1)&lt;&gt;0, ROUND((IF(OFFSET(F13, 0, -1)="",0,OFFSET(F13, 0, -1))/OFFSET(F16, 0, -1))*100,0), 0)</f>
        <v>5</v>
      </c>
    </row>
    <row r="14" spans="2:12">
      <c r="B14" s="4" t="s">
        <v>63</v>
      </c>
      <c r="C14" s="5">
        <v>0</v>
      </c>
      <c r="D14" s="4">
        <f ca="1">IF(OFFSET(D16, 0, -1)&lt;&gt;0, ROUND((IF(OFFSET(D14, 0, -1)="",0,OFFSET(D14, 0, -1))/OFFSET(D16, 0, -1))*100,0), 0)</f>
        <v>0</v>
      </c>
      <c r="E14" s="5">
        <v>0</v>
      </c>
      <c r="F14" s="4">
        <f ca="1">IF(OFFSET(F16, 0, -1)&lt;&gt;0, ROUND((IF(OFFSET(F14, 0, -1)="",0,OFFSET(F14, 0, -1))/OFFSET(F16, 0, -1))*100,0), 0)</f>
        <v>0</v>
      </c>
    </row>
    <row r="15" spans="2:12">
      <c r="B15" s="8"/>
      <c r="C15" s="9">
        <f>SUM(C13:C14)</f>
        <v>200</v>
      </c>
      <c r="D15" s="10">
        <f ca="1">SUM(D13:D14)</f>
        <v>8</v>
      </c>
      <c r="E15" s="9">
        <f>SUM(E13:E14)</f>
        <v>200</v>
      </c>
      <c r="F15" s="10">
        <f ca="1">SUM(F13:F14)</f>
        <v>5</v>
      </c>
    </row>
    <row r="16" spans="2:12">
      <c r="B16" s="11" t="s">
        <v>64</v>
      </c>
      <c r="C16" s="12">
        <f>SUM(C6:C10)+SUM(C13:C14)</f>
        <v>2644.9</v>
      </c>
      <c r="D16" s="11"/>
      <c r="E16" s="12">
        <f>SUM(E6:E10)+SUM(E13:E14)</f>
        <v>3643.95</v>
      </c>
      <c r="F16" s="11"/>
    </row>
    <row r="17" spans="2:12">
      <c r="B17" s="11" t="str">
        <f>IF(COUNT(C17:F17)=0,"","Verlust")</f>
        <v>Verlust</v>
      </c>
      <c r="C17" s="12">
        <f>IF((C16)&lt;(I12),(I12)-(C16),"")</f>
        <v>1214.8499999999999</v>
      </c>
      <c r="D17" s="11"/>
      <c r="E17" s="12" t="str">
        <f>IF((E16)&lt;(K12),(K12)-(E16),"")</f>
        <v/>
      </c>
      <c r="F17" s="11"/>
      <c r="G17" s="11"/>
      <c r="H17" s="11" t="str">
        <f>IF(COUNT(I17:L17)=0,"","Gewinn")</f>
        <v>Gewinn</v>
      </c>
      <c r="I17" s="12" t="str">
        <f>IF((C16)&lt;(I12),"",(C16)-(I12))</f>
        <v/>
      </c>
      <c r="J17" s="11"/>
      <c r="K17" s="12">
        <f>IF((E16)&lt;(K12),"",(E16)-(K12))</f>
        <v>376.61000000000013</v>
      </c>
      <c r="L17" s="11"/>
    </row>
  </sheetData>
  <mergeCells count="1">
    <mergeCell ref="B2:L2"/>
  </mergeCells>
  <pageMargins left="0.7" right="0.7" top="0.75" bottom="0.75" header="0.3" footer="0.3"/>
  <pageSetup paperSize="9" orientation="landscape"/>
  <headerFooter>
    <oddFooter>&amp;LBuchhaltung Buchungsperiode 2024&amp;C &amp;R exportiert am 26.01.2026 - gedruckt am &amp;D (&amp;T) Seite &amp;P / &amp;N</oddFooter>
    <evenFooter>&amp;LBuchhaltung Buchungsperiode 2024&amp;C &amp;R exportiert am 26.01.2026 - gedruckt am &amp;D (&amp;T) Seite &amp;P /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P40"/>
  <sheetViews>
    <sheetView showGridLines="0" workbookViewId="0">
      <selection activeCell="O40" sqref="O40"/>
    </sheetView>
  </sheetViews>
  <sheetFormatPr defaultRowHeight="15.95" customHeight="1"/>
  <cols>
    <col min="1" max="1" width="2" customWidth="1"/>
    <col min="2" max="2" width="57.7109375" bestFit="1" customWidth="1"/>
    <col min="3" max="3" width="9.42578125" bestFit="1" customWidth="1"/>
    <col min="4" max="4" width="12.42578125" bestFit="1" customWidth="1"/>
    <col min="5" max="5" width="24.7109375" bestFit="1" customWidth="1"/>
    <col min="6" max="6" width="20.5703125" bestFit="1" customWidth="1"/>
    <col min="7" max="7" width="23.5703125" bestFit="1" customWidth="1"/>
    <col min="8" max="8" width="24.85546875" bestFit="1" customWidth="1"/>
    <col min="9" max="9" width="2" customWidth="1"/>
    <col min="10" max="10" width="47.140625" bestFit="1" customWidth="1"/>
    <col min="11" max="11" width="9.42578125" bestFit="1" customWidth="1"/>
    <col min="12" max="12" width="12.42578125" bestFit="1" customWidth="1"/>
    <col min="13" max="13" width="24.7109375" bestFit="1" customWidth="1"/>
    <col min="14" max="14" width="20.5703125" bestFit="1" customWidth="1"/>
    <col min="15" max="15" width="23.5703125" bestFit="1" customWidth="1"/>
    <col min="16" max="16" width="24.85546875" bestFit="1" customWidth="1"/>
  </cols>
  <sheetData>
    <row r="2" spans="2:16" ht="24" customHeight="1">
      <c r="B2" s="20" t="s">
        <v>65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4" spans="2:16">
      <c r="B4" s="1" t="s">
        <v>1</v>
      </c>
      <c r="C4" s="2" t="s">
        <v>66</v>
      </c>
      <c r="D4" s="2" t="s">
        <v>67</v>
      </c>
      <c r="E4" s="2" t="s">
        <v>68</v>
      </c>
      <c r="F4" s="2" t="s">
        <v>69</v>
      </c>
      <c r="G4" s="2" t="s">
        <v>70</v>
      </c>
      <c r="H4" s="2" t="s">
        <v>71</v>
      </c>
      <c r="J4" s="1" t="s">
        <v>5</v>
      </c>
      <c r="K4" s="2" t="s">
        <v>66</v>
      </c>
      <c r="L4" s="2" t="s">
        <v>67</v>
      </c>
      <c r="M4" s="2" t="s">
        <v>68</v>
      </c>
      <c r="N4" s="2" t="s">
        <v>69</v>
      </c>
      <c r="O4" s="2" t="s">
        <v>70</v>
      </c>
      <c r="P4" s="2" t="s">
        <v>71</v>
      </c>
    </row>
    <row r="5" spans="2:16">
      <c r="B5" s="3" t="s">
        <v>6</v>
      </c>
      <c r="C5" s="3"/>
      <c r="D5" s="3"/>
      <c r="E5" s="3"/>
      <c r="F5" s="3"/>
      <c r="G5" s="3"/>
      <c r="H5" s="3"/>
      <c r="J5" s="13" t="s">
        <v>5</v>
      </c>
      <c r="K5" s="13"/>
      <c r="L5" s="13"/>
      <c r="M5" s="13"/>
      <c r="N5" s="13"/>
      <c r="O5" s="13"/>
      <c r="P5" s="13"/>
    </row>
    <row r="6" spans="2:16">
      <c r="B6" s="4" t="s">
        <v>7</v>
      </c>
      <c r="C6" s="5">
        <v>0</v>
      </c>
      <c r="D6" s="5">
        <v>103</v>
      </c>
      <c r="E6" s="4">
        <f ca="1">IF(OFFSET(E6, 0, -2)="",0,OFFSET(E6, 0, -2)) - IF(OFFSET(E6, 0, -1)="",0,OFFSET(E6, 0, -1))</f>
        <v>-103</v>
      </c>
      <c r="F6" s="5">
        <v>0</v>
      </c>
      <c r="G6" s="5">
        <v>0</v>
      </c>
      <c r="H6" s="4">
        <f ca="1">IF(OFFSET(H6, 0, -2)="",0,OFFSET(H6, 0, -2)) - IF(OFFSET(H6, 0, -1)="",0,OFFSET(H6, 0, -1))</f>
        <v>0</v>
      </c>
      <c r="J6" s="4" t="s">
        <v>8</v>
      </c>
      <c r="K6" s="5">
        <v>0</v>
      </c>
      <c r="L6" s="5">
        <v>0</v>
      </c>
      <c r="M6" s="4">
        <f ca="1">IF(OFFSET(M6, 0, -1)="",0,OFFSET(M6, 0, -1)) - IF(OFFSET(M6, 0, -2)="",0,OFFSET(M6, 0, -2))</f>
        <v>0</v>
      </c>
      <c r="N6" s="5">
        <v>0</v>
      </c>
      <c r="O6" s="5">
        <v>0</v>
      </c>
      <c r="P6" s="4">
        <f ca="1">IF(OFFSET(P6, 0, -1)="",0,OFFSET(P6, 0, -1)) - IF(OFFSET(P6, 0, -2)="",0,OFFSET(P6, 0, -2))</f>
        <v>0</v>
      </c>
    </row>
    <row r="7" spans="2:16">
      <c r="B7" s="6" t="s">
        <v>9</v>
      </c>
      <c r="C7" s="7">
        <v>0</v>
      </c>
      <c r="D7" s="7">
        <v>0</v>
      </c>
      <c r="E7" s="6">
        <f ca="1">IF(OFFSET(E7, 0, -2)="",0,OFFSET(E7, 0, -2)) - IF(OFFSET(E7, 0, -1)="",0,OFFSET(E7, 0, -1))</f>
        <v>0</v>
      </c>
      <c r="F7" s="7">
        <v>0</v>
      </c>
      <c r="G7" s="7">
        <v>110</v>
      </c>
      <c r="H7" s="6">
        <f ca="1">IF(OFFSET(H7, 0, -2)="",0,OFFSET(H7, 0, -2)) - IF(OFFSET(H7, 0, -1)="",0,OFFSET(H7, 0, -1))</f>
        <v>-110</v>
      </c>
      <c r="J7" s="14" t="s">
        <v>10</v>
      </c>
      <c r="K7" s="15">
        <v>0</v>
      </c>
      <c r="L7" s="15">
        <v>0</v>
      </c>
      <c r="M7" s="14">
        <f ca="1">IF(OFFSET(M7, 0, -1)="",0,OFFSET(M7, 0, -1)) - IF(OFFSET(M7, 0, -2)="",0,OFFSET(M7, 0, -2))</f>
        <v>0</v>
      </c>
      <c r="N7" s="15">
        <v>0</v>
      </c>
      <c r="O7" s="15">
        <v>0</v>
      </c>
      <c r="P7" s="14">
        <f ca="1">IF(OFFSET(P7, 0, -1)="",0,OFFSET(P7, 0, -1)) - IF(OFFSET(P7, 0, -2)="",0,OFFSET(P7, 0, -2))</f>
        <v>0</v>
      </c>
    </row>
    <row r="8" spans="2:16">
      <c r="B8" s="4" t="s">
        <v>11</v>
      </c>
      <c r="C8" s="5">
        <v>0</v>
      </c>
      <c r="D8" s="5">
        <v>0</v>
      </c>
      <c r="E8" s="4">
        <f ca="1">IF(OFFSET(E8, 0, -2)="",0,OFFSET(E8, 0, -2)) - IF(OFFSET(E8, 0, -1)="",0,OFFSET(E8, 0, -1))</f>
        <v>0</v>
      </c>
      <c r="F8" s="5">
        <v>0</v>
      </c>
      <c r="G8" s="5">
        <v>0</v>
      </c>
      <c r="H8" s="4">
        <f ca="1">IF(OFFSET(H8, 0, -2)="",0,OFFSET(H8, 0, -2)) - IF(OFFSET(H8, 0, -1)="",0,OFFSET(H8, 0, -1))</f>
        <v>0</v>
      </c>
      <c r="J8" s="4" t="s">
        <v>12</v>
      </c>
      <c r="K8" s="5">
        <v>0</v>
      </c>
      <c r="L8" s="5">
        <v>0</v>
      </c>
      <c r="M8" s="4">
        <f ca="1">IF(OFFSET(M8, 0, -1)="",0,OFFSET(M8, 0, -1)) - IF(OFFSET(M8, 0, -2)="",0,OFFSET(M8, 0, -2))</f>
        <v>0</v>
      </c>
      <c r="N8" s="5">
        <v>0</v>
      </c>
      <c r="O8" s="5">
        <v>235</v>
      </c>
      <c r="P8" s="4">
        <f ca="1">IF(OFFSET(P8, 0, -1)="",0,OFFSET(P8, 0, -1)) - IF(OFFSET(P8, 0, -2)="",0,OFFSET(P8, 0, -2))</f>
        <v>235</v>
      </c>
    </row>
    <row r="9" spans="2:16">
      <c r="B9" s="6" t="s">
        <v>13</v>
      </c>
      <c r="C9" s="7">
        <v>0</v>
      </c>
      <c r="D9" s="7">
        <v>0</v>
      </c>
      <c r="E9" s="6">
        <f ca="1">IF(OFFSET(E9, 0, -2)="",0,OFFSET(E9, 0, -2)) - IF(OFFSET(E9, 0, -1)="",0,OFFSET(E9, 0, -1))</f>
        <v>0</v>
      </c>
      <c r="F9" s="7">
        <v>0</v>
      </c>
      <c r="G9" s="7">
        <v>244.8</v>
      </c>
      <c r="H9" s="6">
        <f ca="1">IF(OFFSET(H9, 0, -2)="",0,OFFSET(H9, 0, -2)) - IF(OFFSET(H9, 0, -1)="",0,OFFSET(H9, 0, -1))</f>
        <v>-244.8</v>
      </c>
      <c r="J9" s="16"/>
      <c r="K9" s="17">
        <f>SUM(K6:K8)</f>
        <v>0</v>
      </c>
      <c r="L9" s="17">
        <f>SUM(L6:L8)</f>
        <v>0</v>
      </c>
      <c r="M9" s="17">
        <f ca="1">SUM(M6:M8)</f>
        <v>0</v>
      </c>
      <c r="N9" s="17">
        <f>SUM(N6:N8)</f>
        <v>0</v>
      </c>
      <c r="O9" s="17">
        <f>SUM(O6:O8)</f>
        <v>235</v>
      </c>
      <c r="P9" s="17">
        <f ca="1">SUM(P6:P8)</f>
        <v>235</v>
      </c>
    </row>
    <row r="10" spans="2:16">
      <c r="B10" s="4" t="s">
        <v>14</v>
      </c>
      <c r="C10" s="5">
        <v>100</v>
      </c>
      <c r="D10" s="5">
        <v>0</v>
      </c>
      <c r="E10" s="4">
        <f ca="1">IF(OFFSET(E10, 0, -2)="",0,OFFSET(E10, 0, -2)) - IF(OFFSET(E10, 0, -1)="",0,OFFSET(E10, 0, -1))</f>
        <v>100</v>
      </c>
      <c r="F10" s="5">
        <v>0</v>
      </c>
      <c r="G10" s="5">
        <v>0</v>
      </c>
      <c r="H10" s="4">
        <f ca="1">IF(OFFSET(H10, 0, -2)="",0,OFFSET(H10, 0, -2)) - IF(OFFSET(H10, 0, -1)="",0,OFFSET(H10, 0, -1))</f>
        <v>0</v>
      </c>
      <c r="J10" s="13" t="s">
        <v>15</v>
      </c>
      <c r="K10" s="13"/>
      <c r="L10" s="13"/>
      <c r="M10" s="13"/>
      <c r="N10" s="13"/>
      <c r="O10" s="13"/>
      <c r="P10" s="13"/>
    </row>
    <row r="11" spans="2:16">
      <c r="B11" s="6" t="s">
        <v>16</v>
      </c>
      <c r="C11" s="7">
        <v>120</v>
      </c>
      <c r="D11" s="7">
        <v>118.8</v>
      </c>
      <c r="E11" s="6">
        <f ca="1">IF(OFFSET(E11, 0, -2)="",0,OFFSET(E11, 0, -2)) - IF(OFFSET(E11, 0, -1)="",0,OFFSET(E11, 0, -1))</f>
        <v>1.2000000000000028</v>
      </c>
      <c r="F11" s="7">
        <v>0</v>
      </c>
      <c r="G11" s="7">
        <v>118.8</v>
      </c>
      <c r="H11" s="6">
        <f ca="1">IF(OFFSET(H11, 0, -2)="",0,OFFSET(H11, 0, -2)) - IF(OFFSET(H11, 0, -1)="",0,OFFSET(H11, 0, -1))</f>
        <v>-118.8</v>
      </c>
      <c r="J11" s="14" t="s">
        <v>17</v>
      </c>
      <c r="K11" s="15">
        <v>0</v>
      </c>
      <c r="L11" s="15">
        <v>0</v>
      </c>
      <c r="M11" s="14">
        <f ca="1">IF(OFFSET(M11, 0, -1)="",0,OFFSET(M11, 0, -1)) - IF(OFFSET(M11, 0, -2)="",0,OFFSET(M11, 0, -2))</f>
        <v>0</v>
      </c>
      <c r="N11" s="15">
        <v>0</v>
      </c>
      <c r="O11" s="15">
        <v>0</v>
      </c>
      <c r="P11" s="14">
        <f ca="1">IF(OFFSET(P11, 0, -1)="",0,OFFSET(P11, 0, -1)) - IF(OFFSET(P11, 0, -2)="",0,OFFSET(P11, 0, -2))</f>
        <v>0</v>
      </c>
    </row>
    <row r="12" spans="2:16">
      <c r="B12" s="4" t="s">
        <v>18</v>
      </c>
      <c r="C12" s="5">
        <v>0</v>
      </c>
      <c r="D12" s="5">
        <v>0</v>
      </c>
      <c r="E12" s="4">
        <f ca="1">IF(OFFSET(E12, 0, -2)="",0,OFFSET(E12, 0, -2)) - IF(OFFSET(E12, 0, -1)="",0,OFFSET(E12, 0, -1))</f>
        <v>0</v>
      </c>
      <c r="F12" s="5">
        <v>0</v>
      </c>
      <c r="G12" s="5">
        <v>0</v>
      </c>
      <c r="H12" s="4">
        <f ca="1">IF(OFFSET(H12, 0, -2)="",0,OFFSET(H12, 0, -2)) - IF(OFFSET(H12, 0, -1)="",0,OFFSET(H12, 0, -1))</f>
        <v>0</v>
      </c>
      <c r="J12" s="4" t="s">
        <v>19</v>
      </c>
      <c r="K12" s="5">
        <v>0</v>
      </c>
      <c r="L12" s="5">
        <v>0</v>
      </c>
      <c r="M12" s="4">
        <f ca="1">IF(OFFSET(M12, 0, -1)="",0,OFFSET(M12, 0, -1)) - IF(OFFSET(M12, 0, -2)="",0,OFFSET(M12, 0, -2))</f>
        <v>0</v>
      </c>
      <c r="N12" s="5">
        <v>0</v>
      </c>
      <c r="O12" s="5">
        <v>0</v>
      </c>
      <c r="P12" s="4">
        <f ca="1">IF(OFFSET(P12, 0, -1)="",0,OFFSET(P12, 0, -1)) - IF(OFFSET(P12, 0, -2)="",0,OFFSET(P12, 0, -2))</f>
        <v>0</v>
      </c>
    </row>
    <row r="13" spans="2:16">
      <c r="B13" s="6" t="s">
        <v>20</v>
      </c>
      <c r="C13" s="7">
        <v>150</v>
      </c>
      <c r="D13" s="7">
        <v>180.7</v>
      </c>
      <c r="E13" s="6">
        <f ca="1">IF(OFFSET(E13, 0, -2)="",0,OFFSET(E13, 0, -2)) - IF(OFFSET(E13, 0, -1)="",0,OFFSET(E13, 0, -1))</f>
        <v>-30.699999999999989</v>
      </c>
      <c r="F13" s="7">
        <v>0</v>
      </c>
      <c r="G13" s="7">
        <v>106.35</v>
      </c>
      <c r="H13" s="6">
        <f ca="1">IF(OFFSET(H13, 0, -2)="",0,OFFSET(H13, 0, -2)) - IF(OFFSET(H13, 0, -1)="",0,OFFSET(H13, 0, -1))</f>
        <v>-106.35</v>
      </c>
      <c r="J13" s="16"/>
      <c r="K13" s="17">
        <f>SUM(K11:K12)</f>
        <v>0</v>
      </c>
      <c r="L13" s="17">
        <f>SUM(L11:L12)</f>
        <v>0</v>
      </c>
      <c r="M13" s="17">
        <f ca="1">SUM(M11:M12)</f>
        <v>0</v>
      </c>
      <c r="N13" s="17">
        <f>SUM(N11:N12)</f>
        <v>0</v>
      </c>
      <c r="O13" s="17">
        <f>SUM(O11:O12)</f>
        <v>0</v>
      </c>
      <c r="P13" s="17">
        <f ca="1">SUM(P11:P12)</f>
        <v>0</v>
      </c>
    </row>
    <row r="14" spans="2:16">
      <c r="B14" s="4" t="s">
        <v>21</v>
      </c>
      <c r="C14" s="5">
        <v>0</v>
      </c>
      <c r="D14" s="5">
        <v>0</v>
      </c>
      <c r="E14" s="4">
        <f ca="1">IF(OFFSET(E14, 0, -2)="",0,OFFSET(E14, 0, -2)) - IF(OFFSET(E14, 0, -1)="",0,OFFSET(E14, 0, -1))</f>
        <v>0</v>
      </c>
      <c r="F14" s="5">
        <v>0</v>
      </c>
      <c r="G14" s="5">
        <v>0</v>
      </c>
      <c r="H14" s="4">
        <f ca="1">IF(OFFSET(H14, 0, -2)="",0,OFFSET(H14, 0, -2)) - IF(OFFSET(H14, 0, -1)="",0,OFFSET(H14, 0, -1))</f>
        <v>0</v>
      </c>
      <c r="J14" s="13" t="s">
        <v>22</v>
      </c>
      <c r="K14" s="13"/>
      <c r="L14" s="13"/>
      <c r="M14" s="13"/>
      <c r="N14" s="13"/>
      <c r="O14" s="13"/>
      <c r="P14" s="13"/>
    </row>
    <row r="15" spans="2:16">
      <c r="B15" s="6" t="s">
        <v>23</v>
      </c>
      <c r="C15" s="6"/>
      <c r="D15" s="6"/>
      <c r="E15" s="6">
        <f ca="1">IF(OFFSET(E15, 0, -2)="",0,OFFSET(E15, 0, -2)) - IF(OFFSET(E15, 0, -1)="",0,OFFSET(E15, 0, -1))</f>
        <v>0</v>
      </c>
      <c r="F15" s="7">
        <v>0</v>
      </c>
      <c r="G15" s="7">
        <v>0</v>
      </c>
      <c r="H15" s="6">
        <f ca="1">IF(OFFSET(H15, 0, -2)="",0,OFFSET(H15, 0, -2)) - IF(OFFSET(H15, 0, -1)="",0,OFFSET(H15, 0, -1))</f>
        <v>0</v>
      </c>
      <c r="J15" s="14" t="s">
        <v>24</v>
      </c>
      <c r="K15" s="15">
        <v>100</v>
      </c>
      <c r="L15" s="15">
        <v>0</v>
      </c>
      <c r="M15" s="14">
        <f ca="1">IF(OFFSET(M15, 0, -1)="",0,OFFSET(M15, 0, -1)) - IF(OFFSET(M15, 0, -2)="",0,OFFSET(M15, 0, -2))</f>
        <v>-100</v>
      </c>
      <c r="N15" s="15">
        <v>0</v>
      </c>
      <c r="O15" s="15">
        <v>400</v>
      </c>
      <c r="P15" s="14">
        <f ca="1">IF(OFFSET(P15, 0, -1)="",0,OFFSET(P15, 0, -1)) - IF(OFFSET(P15, 0, -2)="",0,OFFSET(P15, 0, -2))</f>
        <v>400</v>
      </c>
    </row>
    <row r="16" spans="2:16">
      <c r="B16" s="8"/>
      <c r="C16" s="9">
        <f>SUM(C6:C15)</f>
        <v>370</v>
      </c>
      <c r="D16" s="9">
        <f>SUM(D6:D15)</f>
        <v>402.5</v>
      </c>
      <c r="E16" s="9">
        <f ca="1">SUM(E6:E15)</f>
        <v>-32.499999999999986</v>
      </c>
      <c r="F16" s="9">
        <f>SUM(F6:F15)</f>
        <v>0</v>
      </c>
      <c r="G16" s="9">
        <f>SUM(G6:G15)</f>
        <v>579.95000000000005</v>
      </c>
      <c r="H16" s="9">
        <f ca="1">SUM(H6:H15)</f>
        <v>-579.95000000000005</v>
      </c>
      <c r="J16" s="16"/>
      <c r="K16" s="17">
        <f>SUM(K15:K15)</f>
        <v>100</v>
      </c>
      <c r="L16" s="17">
        <f>SUM(L15:L15)</f>
        <v>0</v>
      </c>
      <c r="M16" s="17">
        <f ca="1">SUM(M15:M15)</f>
        <v>-100</v>
      </c>
      <c r="N16" s="17">
        <f>SUM(N15:N15)</f>
        <v>0</v>
      </c>
      <c r="O16" s="17">
        <f>SUM(O15:O15)</f>
        <v>400</v>
      </c>
      <c r="P16" s="17">
        <f ca="1">SUM(P15:P15)</f>
        <v>400</v>
      </c>
    </row>
    <row r="17" spans="2:16">
      <c r="B17" s="3" t="s">
        <v>25</v>
      </c>
      <c r="C17" s="3"/>
      <c r="D17" s="3"/>
      <c r="E17" s="3"/>
      <c r="F17" s="3"/>
      <c r="G17" s="3"/>
      <c r="H17" s="3"/>
      <c r="J17" s="13" t="s">
        <v>26</v>
      </c>
      <c r="K17" s="13"/>
      <c r="L17" s="13"/>
      <c r="M17" s="13"/>
      <c r="N17" s="13"/>
      <c r="O17" s="13"/>
      <c r="P17" s="13"/>
    </row>
    <row r="18" spans="2:16">
      <c r="B18" s="4" t="s">
        <v>27</v>
      </c>
      <c r="C18" s="5">
        <v>0</v>
      </c>
      <c r="D18" s="5">
        <v>0</v>
      </c>
      <c r="E18" s="4">
        <f ca="1">IF(OFFSET(E18, 0, -2)="",0,OFFSET(E18, 0, -2)) - IF(OFFSET(E18, 0, -1)="",0,OFFSET(E18, 0, -1))</f>
        <v>0</v>
      </c>
      <c r="F18" s="5">
        <v>0</v>
      </c>
      <c r="G18" s="5">
        <v>90</v>
      </c>
      <c r="H18" s="4">
        <f ca="1">IF(OFFSET(H18, 0, -2)="",0,OFFSET(H18, 0, -2)) - IF(OFFSET(H18, 0, -1)="",0,OFFSET(H18, 0, -1))</f>
        <v>-90</v>
      </c>
      <c r="J18" s="4" t="s">
        <v>28</v>
      </c>
      <c r="K18" s="5">
        <v>150</v>
      </c>
      <c r="L18" s="5">
        <v>444.3</v>
      </c>
      <c r="M18" s="4">
        <f ca="1">IF(OFFSET(M18, 0, -1)="",0,OFFSET(M18, 0, -1)) - IF(OFFSET(M18, 0, -2)="",0,OFFSET(M18, 0, -2))</f>
        <v>294.3</v>
      </c>
      <c r="N18" s="5">
        <v>0</v>
      </c>
      <c r="O18" s="5">
        <v>212</v>
      </c>
      <c r="P18" s="4">
        <f ca="1">IF(OFFSET(P18, 0, -1)="",0,OFFSET(P18, 0, -1)) - IF(OFFSET(P18, 0, -2)="",0,OFFSET(P18, 0, -2))</f>
        <v>212</v>
      </c>
    </row>
    <row r="19" spans="2:16">
      <c r="B19" s="8"/>
      <c r="C19" s="9">
        <f>SUM(C18:C18)</f>
        <v>0</v>
      </c>
      <c r="D19" s="9">
        <f>SUM(D18:D18)</f>
        <v>0</v>
      </c>
      <c r="E19" s="9">
        <f ca="1">SUM(E18:E18)</f>
        <v>0</v>
      </c>
      <c r="F19" s="9">
        <f>SUM(F18:F18)</f>
        <v>0</v>
      </c>
      <c r="G19" s="9">
        <f>SUM(G18:G18)</f>
        <v>90</v>
      </c>
      <c r="H19" s="9">
        <f ca="1">SUM(H18:H18)</f>
        <v>-90</v>
      </c>
      <c r="J19" s="14" t="s">
        <v>29</v>
      </c>
      <c r="K19" s="15">
        <v>300</v>
      </c>
      <c r="L19" s="15">
        <v>53.92</v>
      </c>
      <c r="M19" s="14">
        <f ca="1">IF(OFFSET(M19, 0, -1)="",0,OFFSET(M19, 0, -1)) - IF(OFFSET(M19, 0, -2)="",0,OFFSET(M19, 0, -2))</f>
        <v>-246.07999999999998</v>
      </c>
      <c r="N19" s="15">
        <v>0</v>
      </c>
      <c r="O19" s="15">
        <v>247.7</v>
      </c>
      <c r="P19" s="14">
        <f ca="1">IF(OFFSET(P19, 0, -1)="",0,OFFSET(P19, 0, -1)) - IF(OFFSET(P19, 0, -2)="",0,OFFSET(P19, 0, -2))</f>
        <v>247.7</v>
      </c>
    </row>
    <row r="20" spans="2:16">
      <c r="B20" s="3" t="s">
        <v>22</v>
      </c>
      <c r="C20" s="3"/>
      <c r="D20" s="3"/>
      <c r="E20" s="3"/>
      <c r="F20" s="3"/>
      <c r="G20" s="3"/>
      <c r="H20" s="3"/>
      <c r="J20" s="4" t="s">
        <v>30</v>
      </c>
      <c r="K20" s="5">
        <v>0</v>
      </c>
      <c r="L20" s="5">
        <v>0</v>
      </c>
      <c r="M20" s="4">
        <f ca="1">IF(OFFSET(M20, 0, -1)="",0,OFFSET(M20, 0, -1)) - IF(OFFSET(M20, 0, -2)="",0,OFFSET(M20, 0, -2))</f>
        <v>0</v>
      </c>
      <c r="N20" s="5">
        <v>0</v>
      </c>
      <c r="O20" s="5">
        <v>0</v>
      </c>
      <c r="P20" s="4">
        <f ca="1">IF(OFFSET(P20, 0, -1)="",0,OFFSET(P20, 0, -1)) - IF(OFFSET(P20, 0, -2)="",0,OFFSET(P20, 0, -2))</f>
        <v>0</v>
      </c>
    </row>
    <row r="21" spans="2:16">
      <c r="B21" s="6" t="s">
        <v>31</v>
      </c>
      <c r="C21" s="7">
        <v>0</v>
      </c>
      <c r="D21" s="7">
        <v>0</v>
      </c>
      <c r="E21" s="6">
        <f ca="1">IF(OFFSET(E21, 0, -2)="",0,OFFSET(E21, 0, -2)) - IF(OFFSET(E21, 0, -1)="",0,OFFSET(E21, 0, -1))</f>
        <v>0</v>
      </c>
      <c r="F21" s="7">
        <v>0</v>
      </c>
      <c r="G21" s="7">
        <v>0</v>
      </c>
      <c r="H21" s="6">
        <f ca="1">IF(OFFSET(H21, 0, -2)="",0,OFFSET(H21, 0, -2)) - IF(OFFSET(H21, 0, -1)="",0,OFFSET(H21, 0, -1))</f>
        <v>0</v>
      </c>
      <c r="J21" s="14" t="s">
        <v>32</v>
      </c>
      <c r="K21" s="15">
        <v>0</v>
      </c>
      <c r="L21" s="15">
        <v>0</v>
      </c>
      <c r="M21" s="14">
        <f ca="1">IF(OFFSET(M21, 0, -1)="",0,OFFSET(M21, 0, -1)) - IF(OFFSET(M21, 0, -2)="",0,OFFSET(M21, 0, -2))</f>
        <v>0</v>
      </c>
      <c r="N21" s="15">
        <v>0</v>
      </c>
      <c r="O21" s="15">
        <v>30</v>
      </c>
      <c r="P21" s="14">
        <f ca="1">IF(OFFSET(P21, 0, -1)="",0,OFFSET(P21, 0, -1)) - IF(OFFSET(P21, 0, -2)="",0,OFFSET(P21, 0, -2))</f>
        <v>30</v>
      </c>
    </row>
    <row r="22" spans="2:16">
      <c r="B22" s="8"/>
      <c r="C22" s="9">
        <f>SUM(C21:C21)</f>
        <v>0</v>
      </c>
      <c r="D22" s="9">
        <f>SUM(D21:D21)</f>
        <v>0</v>
      </c>
      <c r="E22" s="9">
        <f ca="1">SUM(E21:E21)</f>
        <v>0</v>
      </c>
      <c r="F22" s="9">
        <f>SUM(F21:F21)</f>
        <v>0</v>
      </c>
      <c r="G22" s="9">
        <f>SUM(G21:G21)</f>
        <v>0</v>
      </c>
      <c r="H22" s="9">
        <f ca="1">SUM(H21:H21)</f>
        <v>0</v>
      </c>
      <c r="J22" s="4" t="s">
        <v>33</v>
      </c>
      <c r="K22" s="5">
        <v>0</v>
      </c>
      <c r="L22" s="5">
        <v>0</v>
      </c>
      <c r="M22" s="4">
        <f ca="1">IF(OFFSET(M22, 0, -1)="",0,OFFSET(M22, 0, -1)) - IF(OFFSET(M22, 0, -2)="",0,OFFSET(M22, 0, -2))</f>
        <v>0</v>
      </c>
      <c r="N22" s="5">
        <v>0</v>
      </c>
      <c r="O22" s="5">
        <v>0</v>
      </c>
      <c r="P22" s="4">
        <f ca="1">IF(OFFSET(P22, 0, -1)="",0,OFFSET(P22, 0, -1)) - IF(OFFSET(P22, 0, -2)="",0,OFFSET(P22, 0, -2))</f>
        <v>0</v>
      </c>
    </row>
    <row r="23" spans="2:16">
      <c r="B23" s="3" t="s">
        <v>26</v>
      </c>
      <c r="C23" s="3"/>
      <c r="D23" s="3"/>
      <c r="E23" s="3"/>
      <c r="F23" s="3"/>
      <c r="G23" s="3"/>
      <c r="H23" s="3"/>
      <c r="J23" s="14" t="s">
        <v>34</v>
      </c>
      <c r="K23" s="15">
        <v>0</v>
      </c>
      <c r="L23" s="15">
        <v>0</v>
      </c>
      <c r="M23" s="14">
        <f ca="1">IF(OFFSET(M23, 0, -1)="",0,OFFSET(M23, 0, -1)) - IF(OFFSET(M23, 0, -2)="",0,OFFSET(M23, 0, -2))</f>
        <v>0</v>
      </c>
      <c r="N23" s="15">
        <v>0</v>
      </c>
      <c r="O23" s="15">
        <v>0</v>
      </c>
      <c r="P23" s="14">
        <f ca="1">IF(OFFSET(P23, 0, -1)="",0,OFFSET(P23, 0, -1)) - IF(OFFSET(P23, 0, -2)="",0,OFFSET(P23, 0, -2))</f>
        <v>0</v>
      </c>
    </row>
    <row r="24" spans="2:16">
      <c r="B24" s="4" t="s">
        <v>35</v>
      </c>
      <c r="C24" s="5">
        <v>0</v>
      </c>
      <c r="D24" s="5">
        <v>612</v>
      </c>
      <c r="E24" s="4">
        <f ca="1">IF(OFFSET(E24, 0, -2)="",0,OFFSET(E24, 0, -2)) - IF(OFFSET(E24, 0, -1)="",0,OFFSET(E24, 0, -1))</f>
        <v>-612</v>
      </c>
      <c r="F24" s="5">
        <v>0</v>
      </c>
      <c r="G24" s="5">
        <v>0</v>
      </c>
      <c r="H24" s="4">
        <f ca="1">IF(OFFSET(H24, 0, -2)="",0,OFFSET(H24, 0, -2)) - IF(OFFSET(H24, 0, -1)="",0,OFFSET(H24, 0, -1))</f>
        <v>0</v>
      </c>
      <c r="J24" s="4" t="s">
        <v>36</v>
      </c>
      <c r="K24" s="5">
        <v>100</v>
      </c>
      <c r="L24" s="5">
        <v>101.47</v>
      </c>
      <c r="M24" s="4">
        <f ca="1">IF(OFFSET(M24, 0, -1)="",0,OFFSET(M24, 0, -1)) - IF(OFFSET(M24, 0, -2)="",0,OFFSET(M24, 0, -2))</f>
        <v>1.4699999999999989</v>
      </c>
      <c r="N24" s="5">
        <v>0</v>
      </c>
      <c r="O24" s="5">
        <v>261.16000000000003</v>
      </c>
      <c r="P24" s="4">
        <f ca="1">IF(OFFSET(P24, 0, -1)="",0,OFFSET(P24, 0, -1)) - IF(OFFSET(P24, 0, -2)="",0,OFFSET(P24, 0, -2))</f>
        <v>261.16000000000003</v>
      </c>
    </row>
    <row r="25" spans="2:16">
      <c r="B25" s="6" t="s">
        <v>28</v>
      </c>
      <c r="C25" s="7">
        <v>0</v>
      </c>
      <c r="D25" s="7">
        <v>0</v>
      </c>
      <c r="E25" s="6">
        <f ca="1">IF(OFFSET(E25, 0, -2)="",0,OFFSET(E25, 0, -2)) - IF(OFFSET(E25, 0, -1)="",0,OFFSET(E25, 0, -1))</f>
        <v>0</v>
      </c>
      <c r="F25" s="7">
        <v>0</v>
      </c>
      <c r="G25" s="7">
        <v>0</v>
      </c>
      <c r="H25" s="6">
        <f ca="1">IF(OFFSET(H25, 0, -2)="",0,OFFSET(H25, 0, -2)) - IF(OFFSET(H25, 0, -1)="",0,OFFSET(H25, 0, -1))</f>
        <v>0</v>
      </c>
      <c r="J25" s="14" t="s">
        <v>37</v>
      </c>
      <c r="K25" s="15">
        <v>0</v>
      </c>
      <c r="L25" s="15">
        <v>0</v>
      </c>
      <c r="M25" s="14">
        <f ca="1">IF(OFFSET(M25, 0, -1)="",0,OFFSET(M25, 0, -1)) - IF(OFFSET(M25, 0, -2)="",0,OFFSET(M25, 0, -2))</f>
        <v>0</v>
      </c>
      <c r="N25" s="15">
        <v>0</v>
      </c>
      <c r="O25" s="15">
        <v>0</v>
      </c>
      <c r="P25" s="14">
        <f ca="1">IF(OFFSET(P25, 0, -1)="",0,OFFSET(P25, 0, -1)) - IF(OFFSET(P25, 0, -2)="",0,OFFSET(P25, 0, -2))</f>
        <v>0</v>
      </c>
    </row>
    <row r="26" spans="2:16">
      <c r="B26" s="4" t="s">
        <v>38</v>
      </c>
      <c r="C26" s="5">
        <v>0</v>
      </c>
      <c r="D26" s="5">
        <v>0</v>
      </c>
      <c r="E26" s="4">
        <f ca="1">IF(OFFSET(E26, 0, -2)="",0,OFFSET(E26, 0, -2)) - IF(OFFSET(E26, 0, -1)="",0,OFFSET(E26, 0, -1))</f>
        <v>0</v>
      </c>
      <c r="F26" s="5">
        <v>0</v>
      </c>
      <c r="G26" s="5">
        <v>0</v>
      </c>
      <c r="H26" s="4">
        <f ca="1">IF(OFFSET(H26, 0, -2)="",0,OFFSET(H26, 0, -2)) - IF(OFFSET(H26, 0, -1)="",0,OFFSET(H26, 0, -1))</f>
        <v>0</v>
      </c>
      <c r="J26" s="16"/>
      <c r="K26" s="17">
        <f>SUM(K18:K25)</f>
        <v>550</v>
      </c>
      <c r="L26" s="17">
        <f>SUM(L18:L25)</f>
        <v>599.69000000000005</v>
      </c>
      <c r="M26" s="17">
        <f ca="1">SUM(M18:M25)</f>
        <v>49.690000000000026</v>
      </c>
      <c r="N26" s="17">
        <f>SUM(N18:N25)</f>
        <v>0</v>
      </c>
      <c r="O26" s="17">
        <f>SUM(O18:O25)</f>
        <v>750.86</v>
      </c>
      <c r="P26" s="17">
        <f ca="1">SUM(P18:P25)</f>
        <v>750.86</v>
      </c>
    </row>
    <row r="27" spans="2:16">
      <c r="B27" s="6" t="s">
        <v>39</v>
      </c>
      <c r="C27" s="7">
        <v>500</v>
      </c>
      <c r="D27" s="7">
        <v>800.04</v>
      </c>
      <c r="E27" s="6">
        <f ca="1">IF(OFFSET(E27, 0, -2)="",0,OFFSET(E27, 0, -2)) - IF(OFFSET(E27, 0, -1)="",0,OFFSET(E27, 0, -1))</f>
        <v>-300.03999999999996</v>
      </c>
      <c r="F27" s="7">
        <v>0</v>
      </c>
      <c r="G27" s="7">
        <v>339.3</v>
      </c>
      <c r="H27" s="6">
        <f ca="1">IF(OFFSET(H27, 0, -2)="",0,OFFSET(H27, 0, -2)) - IF(OFFSET(H27, 0, -1)="",0,OFFSET(H27, 0, -1))</f>
        <v>-339.3</v>
      </c>
      <c r="J27" s="11" t="s">
        <v>40</v>
      </c>
      <c r="K27" s="12">
        <f>SUM(K6:K8)+SUM(K11:K12)+SUM(K15:K15)+SUM(K18:K25)</f>
        <v>650</v>
      </c>
      <c r="L27" s="12">
        <f>SUM(L6:L8)+SUM(L11:L12)+SUM(L15:L15)+SUM(L18:L25)</f>
        <v>599.69000000000005</v>
      </c>
      <c r="M27" s="12">
        <f ca="1">SUM(M6:M8)+SUM(M11:M12)+SUM(M15:M15)+SUM(M18:M25)</f>
        <v>-50.309999999999974</v>
      </c>
      <c r="N27" s="12">
        <f>SUM(N6:N8)+SUM(N11:N12)+SUM(N15:N15)+SUM(N18:N25)</f>
        <v>0</v>
      </c>
      <c r="O27" s="12">
        <f>SUM(O6:O8)+SUM(O11:O12)+SUM(O15:O15)+SUM(O18:O25)</f>
        <v>1385.8600000000001</v>
      </c>
      <c r="P27" s="12">
        <f ca="1">SUM(P6:P8)+SUM(P11:P12)+SUM(P15:P15)+SUM(P18:P25)</f>
        <v>1385.8600000000001</v>
      </c>
    </row>
    <row r="28" spans="2:16">
      <c r="B28" s="4" t="s">
        <v>41</v>
      </c>
      <c r="C28" s="5">
        <v>0</v>
      </c>
      <c r="D28" s="5">
        <v>0</v>
      </c>
      <c r="E28" s="4">
        <f ca="1">IF(OFFSET(E28, 0, -2)="",0,OFFSET(E28, 0, -2)) - IF(OFFSET(E28, 0, -1)="",0,OFFSET(E28, 0, -1))</f>
        <v>0</v>
      </c>
      <c r="F28" s="5">
        <v>0</v>
      </c>
      <c r="G28" s="5">
        <v>0</v>
      </c>
      <c r="H28" s="4">
        <f ca="1">IF(OFFSET(H28, 0, -2)="",0,OFFSET(H28, 0, -2)) - IF(OFFSET(H28, 0, -1)="",0,OFFSET(H28, 0, -1))</f>
        <v>0</v>
      </c>
    </row>
    <row r="29" spans="2:16">
      <c r="B29" s="6" t="s">
        <v>42</v>
      </c>
      <c r="C29" s="7">
        <v>0</v>
      </c>
      <c r="D29" s="7">
        <v>0</v>
      </c>
      <c r="E29" s="6">
        <f ca="1">IF(OFFSET(E29, 0, -2)="",0,OFFSET(E29, 0, -2)) - IF(OFFSET(E29, 0, -1)="",0,OFFSET(E29, 0, -1))</f>
        <v>0</v>
      </c>
      <c r="F29" s="7">
        <v>0</v>
      </c>
      <c r="G29" s="7">
        <v>0</v>
      </c>
      <c r="H29" s="6">
        <f ca="1">IF(OFFSET(H29, 0, -2)="",0,OFFSET(H29, 0, -2)) - IF(OFFSET(H29, 0, -1)="",0,OFFSET(H29, 0, -1))</f>
        <v>0</v>
      </c>
    </row>
    <row r="30" spans="2:16">
      <c r="B30" s="4" t="s">
        <v>37</v>
      </c>
      <c r="C30" s="5">
        <v>0</v>
      </c>
      <c r="D30" s="5">
        <v>0</v>
      </c>
      <c r="E30" s="4">
        <f ca="1">IF(OFFSET(E30, 0, -2)="",0,OFFSET(E30, 0, -2)) - IF(OFFSET(E30, 0, -1)="",0,OFFSET(E30, 0, -1))</f>
        <v>0</v>
      </c>
      <c r="F30" s="5">
        <v>0</v>
      </c>
      <c r="G30" s="5">
        <v>0</v>
      </c>
      <c r="H30" s="4">
        <f ca="1">IF(OFFSET(H30, 0, -2)="",0,OFFSET(H30, 0, -2)) - IF(OFFSET(H30, 0, -1)="",0,OFFSET(H30, 0, -1))</f>
        <v>0</v>
      </c>
    </row>
    <row r="31" spans="2:16">
      <c r="B31" s="6" t="s">
        <v>43</v>
      </c>
      <c r="C31" s="7">
        <v>0</v>
      </c>
      <c r="D31" s="7">
        <v>0</v>
      </c>
      <c r="E31" s="6">
        <f ca="1">IF(OFFSET(E31, 0, -2)="",0,OFFSET(E31, 0, -2)) - IF(OFFSET(E31, 0, -1)="",0,OFFSET(E31, 0, -1))</f>
        <v>0</v>
      </c>
      <c r="F31" s="7">
        <v>0</v>
      </c>
      <c r="G31" s="7">
        <v>0</v>
      </c>
      <c r="H31" s="6">
        <f ca="1">IF(OFFSET(H31, 0, -2)="",0,OFFSET(H31, 0, -2)) - IF(OFFSET(H31, 0, -1)="",0,OFFSET(H31, 0, -1))</f>
        <v>0</v>
      </c>
    </row>
    <row r="32" spans="2:16">
      <c r="B32" s="8"/>
      <c r="C32" s="9">
        <f>SUM(C24:C31)</f>
        <v>500</v>
      </c>
      <c r="D32" s="9">
        <f>SUM(D24:D31)</f>
        <v>1412.04</v>
      </c>
      <c r="E32" s="9">
        <f ca="1">SUM(E24:E31)</f>
        <v>-912.04</v>
      </c>
      <c r="F32" s="9">
        <f>SUM(F24:F31)</f>
        <v>0</v>
      </c>
      <c r="G32" s="9">
        <f>SUM(G24:G31)</f>
        <v>339.3</v>
      </c>
      <c r="H32" s="9">
        <f ca="1">SUM(H24:H31)</f>
        <v>-339.3</v>
      </c>
    </row>
    <row r="33" spans="2:16">
      <c r="B33" s="3" t="s">
        <v>44</v>
      </c>
      <c r="C33" s="3"/>
      <c r="D33" s="3"/>
      <c r="E33" s="3"/>
      <c r="F33" s="3"/>
      <c r="G33" s="3"/>
      <c r="H33" s="3"/>
    </row>
    <row r="34" spans="2:16">
      <c r="B34" s="4" t="s">
        <v>45</v>
      </c>
      <c r="C34" s="5">
        <v>0</v>
      </c>
      <c r="D34" s="5">
        <v>0</v>
      </c>
      <c r="E34" s="4">
        <f ca="1">IF(OFFSET(E34, 0, -2)="",0,OFFSET(E34, 0, -2)) - IF(OFFSET(E34, 0, -1)="",0,OFFSET(E34, 0, -1))</f>
        <v>0</v>
      </c>
      <c r="F34" s="5">
        <v>0</v>
      </c>
      <c r="G34" s="5">
        <v>0</v>
      </c>
      <c r="H34" s="4">
        <f ca="1">IF(OFFSET(H34, 0, -2)="",0,OFFSET(H34, 0, -2)) - IF(OFFSET(H34, 0, -1)="",0,OFFSET(H34, 0, -1))</f>
        <v>0</v>
      </c>
    </row>
    <row r="35" spans="2:16">
      <c r="B35" s="6" t="s">
        <v>30</v>
      </c>
      <c r="C35" s="7">
        <v>0</v>
      </c>
      <c r="D35" s="7">
        <v>0</v>
      </c>
      <c r="E35" s="6">
        <f ca="1">IF(OFFSET(E35, 0, -2)="",0,OFFSET(E35, 0, -2)) - IF(OFFSET(E35, 0, -1)="",0,OFFSET(E35, 0, -1))</f>
        <v>0</v>
      </c>
      <c r="F35" s="7">
        <v>0</v>
      </c>
      <c r="G35" s="7">
        <v>0</v>
      </c>
      <c r="H35" s="6">
        <f ca="1">IF(OFFSET(H35, 0, -2)="",0,OFFSET(H35, 0, -2)) - IF(OFFSET(H35, 0, -1)="",0,OFFSET(H35, 0, -1))</f>
        <v>0</v>
      </c>
    </row>
    <row r="36" spans="2:16">
      <c r="B36" s="4" t="s">
        <v>32</v>
      </c>
      <c r="C36" s="5">
        <v>0</v>
      </c>
      <c r="D36" s="5">
        <v>0</v>
      </c>
      <c r="E36" s="4">
        <f ca="1">IF(OFFSET(E36, 0, -2)="",0,OFFSET(E36, 0, -2)) - IF(OFFSET(E36, 0, -1)="",0,OFFSET(E36, 0, -1))</f>
        <v>0</v>
      </c>
      <c r="F36" s="5">
        <v>0</v>
      </c>
      <c r="G36" s="5">
        <v>0</v>
      </c>
      <c r="H36" s="4">
        <f ca="1">IF(OFFSET(H36, 0, -2)="",0,OFFSET(H36, 0, -2)) - IF(OFFSET(H36, 0, -1)="",0,OFFSET(H36, 0, -1))</f>
        <v>0</v>
      </c>
    </row>
    <row r="37" spans="2:16">
      <c r="B37" s="6" t="s">
        <v>33</v>
      </c>
      <c r="C37" s="7">
        <v>0</v>
      </c>
      <c r="D37" s="7">
        <v>0</v>
      </c>
      <c r="E37" s="6">
        <f ca="1">IF(OFFSET(E37, 0, -2)="",0,OFFSET(E37, 0, -2)) - IF(OFFSET(E37, 0, -1)="",0,OFFSET(E37, 0, -1))</f>
        <v>0</v>
      </c>
      <c r="F37" s="7">
        <v>0</v>
      </c>
      <c r="G37" s="7">
        <v>0</v>
      </c>
      <c r="H37" s="6">
        <f ca="1">IF(OFFSET(H37, 0, -2)="",0,OFFSET(H37, 0, -2)) - IF(OFFSET(H37, 0, -1)="",0,OFFSET(H37, 0, -1))</f>
        <v>0</v>
      </c>
    </row>
    <row r="38" spans="2:16">
      <c r="B38" s="8"/>
      <c r="C38" s="9">
        <f>SUM(C34:C37)</f>
        <v>0</v>
      </c>
      <c r="D38" s="9">
        <f>SUM(D34:D37)</f>
        <v>0</v>
      </c>
      <c r="E38" s="9">
        <f ca="1">SUM(E34:E37)</f>
        <v>0</v>
      </c>
      <c r="F38" s="9">
        <f>SUM(F34:F37)</f>
        <v>0</v>
      </c>
      <c r="G38" s="9">
        <f>SUM(G34:G37)</f>
        <v>0</v>
      </c>
      <c r="H38" s="9">
        <f ca="1">SUM(H34:H37)</f>
        <v>0</v>
      </c>
    </row>
    <row r="39" spans="2:16">
      <c r="B39" s="11" t="s">
        <v>46</v>
      </c>
      <c r="C39" s="12">
        <f>SUM(C6:C15)+SUM(C18:C18)+SUM(C21:C21)+SUM(C24:C31)+SUM(C34:C37)</f>
        <v>870</v>
      </c>
      <c r="D39" s="12">
        <f>SUM(D6:D15)+SUM(D18:D18)+SUM(D21:D21)+SUM(D24:D31)+SUM(D34:D37)</f>
        <v>1814.54</v>
      </c>
      <c r="E39" s="12">
        <f ca="1">SUM(E6:E15)+SUM(E18:E18)+SUM(E21:E21)+SUM(E24:E31)+SUM(E34:E37)</f>
        <v>-944.54</v>
      </c>
      <c r="F39" s="12">
        <f>SUM(F6:F15)+SUM(F18:F18)+SUM(F21:F21)+SUM(F24:F31)+SUM(F34:F37)</f>
        <v>0</v>
      </c>
      <c r="G39" s="12">
        <f>SUM(G6:G15)+SUM(G18:G18)+SUM(G21:G21)+SUM(G24:G31)+SUM(G34:G37)</f>
        <v>1009.25</v>
      </c>
      <c r="H39" s="12">
        <f ca="1">SUM(H6:H15)+SUM(H18:H18)+SUM(H21:H21)+SUM(H24:H31)+SUM(H34:H37)</f>
        <v>-1009.25</v>
      </c>
    </row>
    <row r="40" spans="2:16">
      <c r="B40" s="11" t="str">
        <f>IF(COUNT(C40:H40)=0,"","Gewinn / Verlust")</f>
        <v>Gewinn / Verlust</v>
      </c>
      <c r="C40" s="12">
        <f>(K27)-(C39)</f>
        <v>-220</v>
      </c>
      <c r="D40" s="12">
        <f>(L27)-(D39)</f>
        <v>-1214.8499999999999</v>
      </c>
      <c r="E40" s="11"/>
      <c r="F40" s="12">
        <f>(N27)-(F39)</f>
        <v>0</v>
      </c>
      <c r="G40" s="12">
        <f>(O27)-(G39)</f>
        <v>376.61000000000013</v>
      </c>
      <c r="H40" s="11"/>
      <c r="I40" s="11"/>
      <c r="J40" s="11" t="str">
        <f>IF(COUNT(K40:P40)=0,"","Gewinn / Verlust")</f>
        <v>Gewinn / Verlust</v>
      </c>
      <c r="K40" s="12">
        <f>(K27)-(C39)</f>
        <v>-220</v>
      </c>
      <c r="L40" s="12">
        <f>(L27)-(D39)</f>
        <v>-1214.8499999999999</v>
      </c>
      <c r="M40" s="11"/>
      <c r="N40" s="12">
        <f>(N27)-(F39)</f>
        <v>0</v>
      </c>
      <c r="O40" s="12">
        <f>(O27)-(G39)</f>
        <v>376.61000000000013</v>
      </c>
      <c r="P40" s="11"/>
    </row>
  </sheetData>
  <mergeCells count="1">
    <mergeCell ref="B2:P2"/>
  </mergeCells>
  <pageMargins left="0.7" right="0.7" top="0.75" bottom="0.75" header="0.3" footer="0.3"/>
  <pageSetup paperSize="9" orientation="landscape"/>
  <headerFooter>
    <oddFooter>&amp;LBuchhaltung Buchungsperiode 2024&amp;C &amp;R exportiert am 26.01.2026 - gedruckt am &amp;D (&amp;T) Seite &amp;P / &amp;N</oddFooter>
    <evenFooter>&amp;LBuchhaltung Buchungsperiode 2024&amp;C &amp;R exportiert am 26.01.2026 - gedruckt am &amp;D (&amp;T) Seite &amp;P /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R20"/>
  <sheetViews>
    <sheetView showGridLines="0" workbookViewId="0">
      <selection activeCell="F17" sqref="F17"/>
    </sheetView>
  </sheetViews>
  <sheetFormatPr defaultRowHeight="15.95" customHeight="1"/>
  <cols>
    <col min="1" max="1" width="2" customWidth="1"/>
    <col min="2" max="2" width="29.42578125" bestFit="1" customWidth="1"/>
    <col min="3" max="3" width="10.5703125" bestFit="1" customWidth="1"/>
    <col min="4" max="4" width="2" customWidth="1"/>
    <col min="5" max="5" width="17.5703125" bestFit="1" customWidth="1"/>
    <col min="6" max="6" width="10.5703125" bestFit="1" customWidth="1"/>
  </cols>
  <sheetData>
    <row r="2" spans="2:6" ht="24" customHeight="1">
      <c r="B2" s="20" t="s">
        <v>72</v>
      </c>
      <c r="C2" s="20"/>
      <c r="D2" s="20"/>
      <c r="E2" s="20"/>
      <c r="F2" s="20"/>
    </row>
    <row r="4" spans="2:6">
      <c r="B4" s="1" t="s">
        <v>48</v>
      </c>
      <c r="C4" s="2"/>
      <c r="E4" s="1" t="s">
        <v>49</v>
      </c>
      <c r="F4" s="2"/>
    </row>
    <row r="5" spans="2:6">
      <c r="B5" s="3" t="s">
        <v>50</v>
      </c>
      <c r="C5" s="3"/>
      <c r="E5" s="13" t="s">
        <v>51</v>
      </c>
      <c r="F5" s="13"/>
    </row>
    <row r="6" spans="2:6">
      <c r="B6" s="4" t="s">
        <v>52</v>
      </c>
      <c r="C6" s="5">
        <v>100</v>
      </c>
      <c r="E6" s="4" t="s">
        <v>53</v>
      </c>
      <c r="F6" s="5">
        <v>964.87</v>
      </c>
    </row>
    <row r="7" spans="2:6">
      <c r="B7" s="6" t="s">
        <v>54</v>
      </c>
      <c r="C7" s="7">
        <v>0</v>
      </c>
      <c r="E7" s="16"/>
      <c r="F7" s="17">
        <f>SUM(F6:F6)</f>
        <v>964.87</v>
      </c>
    </row>
    <row r="8" spans="2:6">
      <c r="B8" s="4" t="s">
        <v>55</v>
      </c>
      <c r="C8" s="5">
        <v>3343.95</v>
      </c>
      <c r="E8" s="13" t="s">
        <v>56</v>
      </c>
      <c r="F8" s="13"/>
    </row>
    <row r="9" spans="2:6">
      <c r="B9" s="6" t="s">
        <v>57</v>
      </c>
      <c r="C9" s="7">
        <v>0</v>
      </c>
      <c r="E9" s="14" t="s">
        <v>56</v>
      </c>
      <c r="F9" s="15">
        <v>2479.08</v>
      </c>
    </row>
    <row r="10" spans="2:6">
      <c r="B10" s="4" t="s">
        <v>58</v>
      </c>
      <c r="C10" s="5">
        <v>0</v>
      </c>
      <c r="E10" s="4" t="s">
        <v>59</v>
      </c>
      <c r="F10" s="5">
        <v>200</v>
      </c>
    </row>
    <row r="11" spans="2:6">
      <c r="B11" s="8"/>
      <c r="C11" s="9">
        <f>SUM(C6:C10)</f>
        <v>3443.95</v>
      </c>
      <c r="E11" s="16"/>
      <c r="F11" s="17">
        <f>SUM(F9:F10)</f>
        <v>2679.08</v>
      </c>
    </row>
    <row r="12" spans="2:6">
      <c r="B12" s="3" t="s">
        <v>60</v>
      </c>
      <c r="C12" s="3"/>
      <c r="E12" s="11" t="s">
        <v>61</v>
      </c>
      <c r="F12" s="12">
        <f>SUM(F6:F6)+SUM(F9:F10)</f>
        <v>3643.95</v>
      </c>
    </row>
    <row r="13" spans="2:6">
      <c r="B13" s="6" t="s">
        <v>62</v>
      </c>
      <c r="C13" s="7">
        <v>200</v>
      </c>
    </row>
    <row r="14" spans="2:6">
      <c r="B14" s="4" t="s">
        <v>63</v>
      </c>
      <c r="C14" s="5">
        <v>0</v>
      </c>
    </row>
    <row r="15" spans="2:6">
      <c r="B15" s="8"/>
      <c r="C15" s="9">
        <f>SUM(C13:C14)</f>
        <v>200</v>
      </c>
    </row>
    <row r="16" spans="2:6">
      <c r="B16" s="11" t="s">
        <v>64</v>
      </c>
      <c r="C16" s="12">
        <f>SUM(C6:C10)+SUM(C13:C14)</f>
        <v>3643.95</v>
      </c>
    </row>
    <row r="17" spans="2:18">
      <c r="B17" s="19" t="str">
        <f>IF((C16-F12&lt;-0.001),"Fehlbetrag, bitte korrigieren","")</f>
        <v/>
      </c>
      <c r="C17" s="19" t="str">
        <f>IF((C16-F12&lt;-0.001),(F12)-(C16),"")</f>
        <v/>
      </c>
      <c r="D17" s="11"/>
      <c r="E17" s="19" t="str">
        <f>IF((C16-F12&gt;0.001),"Fehlbetrag, bitte korrigieren","")</f>
        <v/>
      </c>
      <c r="F17" s="19" t="str">
        <f>IF((C16-F12&gt;0.001),(C16)-(F12),"")</f>
        <v/>
      </c>
    </row>
    <row r="20" spans="2:18">
      <c r="B20" s="21" t="str">
        <f>IF((C16-F12&lt;-0.001),"Die Summe beider Seiten der Bilanz muss zu Beginn der Buchungsperiode gleich sein. Sonst ist der Gewinn falsch. Korrigiere die Eröffnungsbilanz in Kontenplan -&gt; Konten bearbeiten -&gt; Eröffnungsbilanz.","")</f>
        <v/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</sheetData>
  <mergeCells count="2">
    <mergeCell ref="B2:F2"/>
    <mergeCell ref="B20:R20"/>
  </mergeCells>
  <pageMargins left="0.7" right="0.7" top="0.75" bottom="0.75" header="0.3" footer="0.3"/>
  <pageSetup paperSize="9" orientation="landscape"/>
  <headerFooter>
    <oddFooter>&amp;LBuchhaltung Buchungsperiode 2024&amp;C &amp;R exportiert am 26.01.2026 - gedruckt am &amp;D (&amp;T) Seite &amp;P / &amp;N</oddFooter>
    <evenFooter>&amp;LBuchhaltung Buchungsperiode 2024&amp;C &amp;R exportiert am 26.01.2026 - gedruckt am &amp;D (&amp;T) Seite &amp;P /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2026-01-26T20:36:09Z</dcterms:created>
  <dcterms:modified xsi:type="dcterms:W3CDTF">2026-03-08T19:25:55Z</dcterms:modified>
  <cp:category/>
  <cp:contentStatus/>
</cp:coreProperties>
</file>